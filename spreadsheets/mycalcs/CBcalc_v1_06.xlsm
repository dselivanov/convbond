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filterPrivacy="1" codeName="ЭтаКнига" defaultThemeVersion="124226"/>
  <bookViews>
    <workbookView xWindow="240" yWindow="105" windowWidth="14805" windowHeight="8010"/>
  </bookViews>
  <sheets>
    <sheet name="ConvBond" sheetId="1" r:id="rId1"/>
    <sheet name="help" sheetId="2" r:id="rId2"/>
    <sheet name="examples" sheetId="3" r:id="rId3"/>
  </sheets>
  <definedNames>
    <definedName name="solver_adj" localSheetId="0" hidden="1">ConvBond!$M$17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ConvBond!#REF!</definedName>
    <definedName name="solver_pre" localSheetId="0" hidden="1">0.000001</definedName>
    <definedName name="solver_rbv" localSheetId="0" hidden="1">2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1</definedName>
    <definedName name="solver_ver" localSheetId="0" hidden="1">3</definedName>
  </definedNames>
  <calcPr calcId="144525"/>
</workbook>
</file>

<file path=xl/calcChain.xml><?xml version="1.0" encoding="utf-8"?>
<calcChain xmlns="http://schemas.openxmlformats.org/spreadsheetml/2006/main">
  <c r="P140" i="1" l="1"/>
  <c r="J6" i="1"/>
  <c r="K6" i="1" s="1"/>
  <c r="L6" i="1" s="1"/>
  <c r="M6" i="1" s="1"/>
  <c r="I6" i="1"/>
  <c r="P143" i="1"/>
  <c r="P144" i="1" s="1"/>
  <c r="P145" i="1" s="1"/>
  <c r="P146" i="1" s="1"/>
  <c r="P147" i="1" s="1"/>
  <c r="P148" i="1" s="1"/>
  <c r="P149" i="1" s="1"/>
  <c r="P150" i="1" s="1"/>
  <c r="P151" i="1" s="1"/>
  <c r="P152" i="1" s="1"/>
  <c r="P153" i="1" s="1"/>
  <c r="P154" i="1" s="1"/>
  <c r="P155" i="1" s="1"/>
  <c r="P156" i="1" s="1"/>
  <c r="P157" i="1" s="1"/>
  <c r="P158" i="1" s="1"/>
  <c r="R142" i="1"/>
  <c r="R143" i="1" l="1"/>
  <c r="P102" i="1"/>
  <c r="P2" i="1"/>
  <c r="T47" i="1"/>
  <c r="Q65" i="1"/>
  <c r="R65" i="1" s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47" i="1"/>
  <c r="Q47" i="1"/>
  <c r="R47" i="1" s="1"/>
  <c r="Q48" i="1"/>
  <c r="R48" i="1" s="1"/>
  <c r="Q49" i="1"/>
  <c r="R49" i="1" s="1"/>
  <c r="Q50" i="1"/>
  <c r="Q51" i="1"/>
  <c r="Q52" i="1"/>
  <c r="R52" i="1" s="1"/>
  <c r="Q53" i="1"/>
  <c r="R53" i="1" s="1"/>
  <c r="Q54" i="1"/>
  <c r="R54" i="1" s="1"/>
  <c r="Q55" i="1"/>
  <c r="Q56" i="1"/>
  <c r="R56" i="1" s="1"/>
  <c r="Q57" i="1"/>
  <c r="R57" i="1" s="1"/>
  <c r="Q58" i="1"/>
  <c r="R58" i="1" s="1"/>
  <c r="Q59" i="1"/>
  <c r="Q60" i="1"/>
  <c r="R60" i="1" s="1"/>
  <c r="Q61" i="1"/>
  <c r="R61" i="1" s="1"/>
  <c r="Q62" i="1"/>
  <c r="R62" i="1" s="1"/>
  <c r="Q63" i="1"/>
  <c r="Q64" i="1"/>
  <c r="R64" i="1" s="1"/>
  <c r="Q66" i="1"/>
  <c r="R66" i="1" s="1"/>
  <c r="Q67" i="1"/>
  <c r="Q68" i="1"/>
  <c r="R68" i="1" s="1"/>
  <c r="Q69" i="1"/>
  <c r="R69" i="1" s="1"/>
  <c r="Q70" i="1"/>
  <c r="R70" i="1" s="1"/>
  <c r="Q71" i="1"/>
  <c r="Q72" i="1"/>
  <c r="R72" i="1" s="1"/>
  <c r="Q73" i="1"/>
  <c r="R73" i="1" s="1"/>
  <c r="R144" i="1" l="1"/>
  <c r="R50" i="1"/>
  <c r="R71" i="1"/>
  <c r="R67" i="1"/>
  <c r="R63" i="1"/>
  <c r="R59" i="1"/>
  <c r="R55" i="1"/>
  <c r="R51" i="1"/>
  <c r="M4" i="1"/>
  <c r="G7" i="1"/>
  <c r="G8" i="1" s="1"/>
  <c r="R145" i="1" l="1"/>
  <c r="A32" i="1"/>
  <c r="R146" i="1" l="1"/>
  <c r="B13" i="1"/>
  <c r="R147" i="1" l="1"/>
  <c r="G9" i="1"/>
  <c r="G10" i="1" s="1"/>
  <c r="G11" i="1" s="1"/>
  <c r="G12" i="1" s="1"/>
  <c r="G13" i="1" s="1"/>
  <c r="G14" i="1" s="1"/>
  <c r="G15" i="1" s="1"/>
  <c r="G16" i="1" s="1"/>
  <c r="G17" i="1" s="1"/>
  <c r="H6" i="1"/>
  <c r="H5" i="1" s="1"/>
  <c r="R148" i="1" l="1"/>
  <c r="B36" i="1"/>
  <c r="B35" i="1"/>
  <c r="B37" i="1"/>
  <c r="B39" i="1"/>
  <c r="B38" i="1"/>
  <c r="Q142" i="1"/>
  <c r="Q149" i="1"/>
  <c r="Q5" i="1"/>
  <c r="Q15" i="1"/>
  <c r="Q147" i="1"/>
  <c r="Q145" i="1"/>
  <c r="Q20" i="1"/>
  <c r="Q9" i="1"/>
  <c r="Q19" i="1"/>
  <c r="Q13" i="1"/>
  <c r="H13" i="1"/>
  <c r="Q119" i="1"/>
  <c r="Q18" i="1"/>
  <c r="Q4" i="1"/>
  <c r="Q108" i="1"/>
  <c r="Q104" i="1"/>
  <c r="Q120" i="1"/>
  <c r="H12" i="1"/>
  <c r="H16" i="1"/>
  <c r="H11" i="1"/>
  <c r="Q8" i="1"/>
  <c r="H7" i="1"/>
  <c r="B27" i="1"/>
  <c r="Q143" i="1"/>
  <c r="Q148" i="1"/>
  <c r="H15" i="1"/>
  <c r="H10" i="1"/>
  <c r="Q117" i="1"/>
  <c r="Q111" i="1"/>
  <c r="H8" i="1"/>
  <c r="H14" i="1"/>
  <c r="Q7" i="1"/>
  <c r="Q114" i="1"/>
  <c r="H17" i="1"/>
  <c r="Q11" i="1"/>
  <c r="Q116" i="1"/>
  <c r="Q12" i="1"/>
  <c r="Q115" i="1"/>
  <c r="Q107" i="1"/>
  <c r="B28" i="1"/>
  <c r="Q146" i="1"/>
  <c r="Q144" i="1"/>
  <c r="Q112" i="1"/>
  <c r="Q10" i="1"/>
  <c r="Q118" i="1"/>
  <c r="Q14" i="1"/>
  <c r="Q109" i="1"/>
  <c r="Q110" i="1"/>
  <c r="Q105" i="1"/>
  <c r="Q17" i="1"/>
  <c r="H9" i="1"/>
  <c r="Q16" i="1"/>
  <c r="Q113" i="1"/>
  <c r="Q106" i="1"/>
  <c r="Q6" i="1"/>
  <c r="S45" i="1"/>
  <c r="S144" i="1" l="1"/>
  <c r="S148" i="1"/>
  <c r="S152" i="1"/>
  <c r="S156" i="1"/>
  <c r="S145" i="1"/>
  <c r="S149" i="1"/>
  <c r="S153" i="1"/>
  <c r="S157" i="1"/>
  <c r="S146" i="1"/>
  <c r="S150" i="1"/>
  <c r="S154" i="1"/>
  <c r="S158" i="1"/>
  <c r="S143" i="1"/>
  <c r="S147" i="1"/>
  <c r="S151" i="1"/>
  <c r="S155" i="1"/>
  <c r="S142" i="1"/>
  <c r="R149" i="1"/>
  <c r="U72" i="1"/>
  <c r="U50" i="1"/>
  <c r="U54" i="1"/>
  <c r="U58" i="1"/>
  <c r="U62" i="1"/>
  <c r="U66" i="1"/>
  <c r="U70" i="1"/>
  <c r="U48" i="1"/>
  <c r="U60" i="1"/>
  <c r="U68" i="1"/>
  <c r="U49" i="1"/>
  <c r="U61" i="1"/>
  <c r="U69" i="1"/>
  <c r="U51" i="1"/>
  <c r="U55" i="1"/>
  <c r="U59" i="1"/>
  <c r="U63" i="1"/>
  <c r="U67" i="1"/>
  <c r="U71" i="1"/>
  <c r="U52" i="1"/>
  <c r="U56" i="1"/>
  <c r="U64" i="1"/>
  <c r="U53" i="1"/>
  <c r="U57" i="1"/>
  <c r="U65" i="1"/>
  <c r="U73" i="1"/>
  <c r="U47" i="1"/>
  <c r="I5" i="1"/>
  <c r="I8" i="1"/>
  <c r="I12" i="1"/>
  <c r="I10" i="1"/>
  <c r="I11" i="1"/>
  <c r="I16" i="1"/>
  <c r="I13" i="1"/>
  <c r="I17" i="1"/>
  <c r="I9" i="1"/>
  <c r="Q150" i="1"/>
  <c r="I7" i="1"/>
  <c r="I15" i="1"/>
  <c r="I14" i="1"/>
  <c r="R150" i="1" l="1"/>
  <c r="J5" i="1"/>
  <c r="J8" i="1"/>
  <c r="J15" i="1"/>
  <c r="J12" i="1"/>
  <c r="J10" i="1"/>
  <c r="J11" i="1"/>
  <c r="J16" i="1"/>
  <c r="J14" i="1"/>
  <c r="Q151" i="1"/>
  <c r="J9" i="1"/>
  <c r="J17" i="1"/>
  <c r="J13" i="1"/>
  <c r="J7" i="1"/>
  <c r="R151" i="1" l="1"/>
  <c r="K5" i="1"/>
  <c r="K16" i="1"/>
  <c r="K17" i="1"/>
  <c r="K9" i="1"/>
  <c r="K8" i="1"/>
  <c r="K15" i="1"/>
  <c r="Q152" i="1"/>
  <c r="K11" i="1"/>
  <c r="K13" i="1"/>
  <c r="K7" i="1"/>
  <c r="K10" i="1"/>
  <c r="K12" i="1"/>
  <c r="K14" i="1"/>
  <c r="R152" i="1" l="1"/>
  <c r="L5" i="1"/>
  <c r="M5" i="1"/>
  <c r="M16" i="1"/>
  <c r="M13" i="1"/>
  <c r="L16" i="1"/>
  <c r="M12" i="1"/>
  <c r="L7" i="1"/>
  <c r="M8" i="1"/>
  <c r="M10" i="1"/>
  <c r="M17" i="1"/>
  <c r="L9" i="1"/>
  <c r="L17" i="1"/>
  <c r="M9" i="1"/>
  <c r="M7" i="1"/>
  <c r="M11" i="1"/>
  <c r="M15" i="1"/>
  <c r="Q153" i="1"/>
  <c r="L10" i="1"/>
  <c r="M14" i="1"/>
  <c r="L8" i="1"/>
  <c r="L13" i="1"/>
  <c r="L11" i="1"/>
  <c r="L14" i="1"/>
  <c r="L15" i="1"/>
  <c r="L12" i="1"/>
  <c r="R153" i="1" l="1"/>
  <c r="Q154" i="1"/>
  <c r="R154" i="1" l="1"/>
  <c r="Q155" i="1"/>
  <c r="R155" i="1" l="1"/>
  <c r="Q156" i="1"/>
  <c r="R156" i="1" l="1"/>
  <c r="Q157" i="1"/>
  <c r="R157" i="1" l="1"/>
  <c r="Q158" i="1"/>
  <c r="R158" i="1" l="1"/>
</calcChain>
</file>

<file path=xl/sharedStrings.xml><?xml version="1.0" encoding="utf-8"?>
<sst xmlns="http://schemas.openxmlformats.org/spreadsheetml/2006/main" count="83" uniqueCount="76">
  <si>
    <t>stock price</t>
  </si>
  <si>
    <t>maturity</t>
  </si>
  <si>
    <t>face value</t>
  </si>
  <si>
    <t>risk free yld</t>
  </si>
  <si>
    <t>coupon frequency</t>
  </si>
  <si>
    <t>put strike</t>
  </si>
  <si>
    <t>no call time, years</t>
  </si>
  <si>
    <t>no put time, years</t>
  </si>
  <si>
    <t>no conversion period, years</t>
  </si>
  <si>
    <t>call strike</t>
  </si>
  <si>
    <t>coupon yld</t>
  </si>
  <si>
    <t>conversion ratio</t>
  </si>
  <si>
    <t>stock annual volatility</t>
  </si>
  <si>
    <t>Volatility</t>
  </si>
  <si>
    <t>Premium</t>
  </si>
  <si>
    <t>premium</t>
  </si>
  <si>
    <t>Sensitivity calculator</t>
  </si>
  <si>
    <t>Convertible bond price calculator</t>
  </si>
  <si>
    <t>Входные параметры модели</t>
  </si>
  <si>
    <t>credit spread</t>
  </si>
  <si>
    <t>dividend rate</t>
  </si>
  <si>
    <t>number of steps per year</t>
  </si>
  <si>
    <t>dividend protection rate</t>
  </si>
  <si>
    <t>Nb of steps</t>
  </si>
  <si>
    <t>years to dividend</t>
  </si>
  <si>
    <t>Rate compounding per year (0 for cotiniously)</t>
  </si>
  <si>
    <t>Dividend schedule</t>
  </si>
  <si>
    <t>dividend date</t>
  </si>
  <si>
    <t>Сompounding per year basis (0 for cotiniously) - капитализация процентных ставок (сколько раз в год). 0 в случае непрерывной капитализации.</t>
  </si>
  <si>
    <t>stock price, $ - текущая цена акции</t>
  </si>
  <si>
    <t>stock annual volatility %%- волатильность цены акций за год. Если используется не годовая волатильность, то ее нужно привести к годовой.</t>
  </si>
  <si>
    <t>risk free yld, %% - risk free соответствующей дюрации</t>
  </si>
  <si>
    <t>credit spread, %% -  кредитный спрэд данного эмитента и данной дюрации обычной облигации</t>
  </si>
  <si>
    <t>coupon yld %% -  купон в процентах в год</t>
  </si>
  <si>
    <t>coupon frequency - частота купона в год</t>
  </si>
  <si>
    <t>dividend protection rate - дивидендная доходность, после которой изменятеся коэффициент конвертации.</t>
  </si>
  <si>
    <t>Dividend schedule -  предполагаемая дивидендная доходность, %</t>
  </si>
  <si>
    <t>premium, %% - премия к текущей цене акций. То есть конвертация будет возможна по цене stock price * (1+premium)</t>
  </si>
  <si>
    <t>conversion option type (1=american, 0=european)</t>
  </si>
  <si>
    <t>redemption premium</t>
  </si>
  <si>
    <t>conversion ratio - количество акций, в которое можно будет конвертировать одну облигацию заданного номинала.  Если до этого введен параметр premium, то  conversion ratio задавать не нужно.</t>
  </si>
  <si>
    <t>no conversion period, гг - ограничение периода конвертации после размещения CB. Например может быть, что нельзя конвертировать первые пол года. 0 если такая опция не предусмотрена.</t>
  </si>
  <si>
    <t>conversion option type (1=american, 0=european) - тип опциона конвертации. Обычно у всех американский.</t>
  </si>
  <si>
    <t>maturity, гг- время до погашения облигации в годах</t>
  </si>
  <si>
    <t>face value $ -  номинал облигации</t>
  </si>
  <si>
    <t>redemption premium - премия при погашении облигации. Например, может погашать по цене +30% от номинала</t>
  </si>
  <si>
    <t>barrier call stock price $, -  цена акции, при превышении которой эмитент в праве выкупить CB заданной цене. Таким образом эмитент подталкивает инвестора произвести конвертацию и защищается от убытков в случае сильного роста своих акций.0 если такая опция не предусмотрена.</t>
  </si>
  <si>
    <t>barrier call strike, %% -  цена в % от номинала, по которой эмитент готов выкупить CB в случае soft call. Обычно 100%. 0 если такая опция не предусмотрена.</t>
  </si>
  <si>
    <t>no put time, гг - период, лет, после которого инвестор в праве предъявить CB к погашению по цене put strike, %%, указанной выше. 0 если такая опция не предусмотрена.</t>
  </si>
  <si>
    <t>put strike, %% -  цена в процентах от номинала, по которой инвестор в праве предъявить к погашению эмитенту CB. 0 если опцион не предусмотрен</t>
  </si>
  <si>
    <t>no call time, гг - период, лет, после которого эмитент в праве выкупить CB по цене call strike, %%, указанной выше. 0 если такая опция не предусмотрена.</t>
  </si>
  <si>
    <t>call strike, %% -  цена в процентах от номинала, по которой эмитент в праве выкупить CB. 0 если опцион не предусмотрен</t>
  </si>
  <si>
    <t>number of steps -  число уровней дерева в год. По умолчанию 100 - обычно достаточно для быстрых расчетов. Для финальных расчетов можно увеличить до 1000, но будет считать значительно медленнее.</t>
  </si>
  <si>
    <t>2013 Developed by Dmitriy Selivanov: selivanov.dmitriy@gmail.com</t>
  </si>
  <si>
    <t>Div. protection level</t>
  </si>
  <si>
    <t>Convertible bond price</t>
  </si>
  <si>
    <t>Example #2. Convergence to the "TRUE" price.</t>
  </si>
  <si>
    <t>yearly dividends</t>
  </si>
  <si>
    <t>Example #3. Sensitivity to dividends. (fixed dividend protection 1.5%)</t>
  </si>
  <si>
    <t>CBprice value</t>
  </si>
  <si>
    <t>Stock price</t>
  </si>
  <si>
    <t>Annual Stock Price Growth</t>
  </si>
  <si>
    <t>Cummultaive Stock Price Growth</t>
  </si>
  <si>
    <t>tax rate</t>
  </si>
  <si>
    <t>Common Equity</t>
  </si>
  <si>
    <t>Debt rate</t>
  </si>
  <si>
    <t>Convertible rate</t>
  </si>
  <si>
    <t>Example #2. Cost of Capital Analysis (AFTER TAX)</t>
  </si>
  <si>
    <t>Coupon</t>
  </si>
  <si>
    <t>Convertible bond coupon</t>
  </si>
  <si>
    <t>no softcall time, years</t>
  </si>
  <si>
    <t>softcall stock price</t>
  </si>
  <si>
    <t>softcall strike</t>
  </si>
  <si>
    <t>Sotck price</t>
  </si>
  <si>
    <t>Bond floor</t>
  </si>
  <si>
    <t>Intrinsic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</si>
</sst>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name val="Calibri"/>
      <family val="2"/>
      <scheme val="minor"/>
    </font>
    <font>
      <b/>
      <sz val="14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i/>
      <sz val="14"/>
      <color rgb="FFFF0000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sz val="8"/>
      <color theme="1"/>
      <name val="Calibri"/>
      <family val="2"/>
      <scheme val="minor"/>
    </font>
    <font>
      <sz val="14"/>
      <color theme="1"/>
      <name val="Calibri"/>
      <family val="2"/>
      <charset val="204"/>
      <scheme val="minor"/>
    </font>
    <font>
      <sz val="10"/>
      <color theme="0" tint="-4.9989318521683403E-2"/>
      <name val="Calibri"/>
      <family val="2"/>
      <scheme val="minor"/>
    </font>
    <font>
      <sz val="12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b/>
      <sz val="12"/>
      <color theme="1"/>
      <name val="Arial"/>
      <family val="2"/>
      <charset val="204"/>
    </font>
    <font>
      <b/>
      <sz val="12"/>
      <color theme="5"/>
      <name val="Arial"/>
      <family val="2"/>
      <charset val="204"/>
    </font>
  </fonts>
  <fills count="9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</fills>
  <borders count="3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/>
      <top style="thin">
        <color auto="1"/>
      </top>
      <bottom/>
      <diagonal/>
    </border>
    <border>
      <left style="medium">
        <color indexed="64"/>
      </left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39">
    <xf numFmtId="0" fontId="0" fillId="0" borderId="0" xfId="0"/>
    <xf numFmtId="0" fontId="0" fillId="0" borderId="0" xfId="0" applyFill="1"/>
    <xf numFmtId="10" fontId="0" fillId="0" borderId="22" xfId="0" applyNumberFormat="1" applyFill="1" applyBorder="1"/>
    <xf numFmtId="10" fontId="0" fillId="4" borderId="16" xfId="0" applyNumberFormat="1" applyFill="1" applyBorder="1"/>
    <xf numFmtId="10" fontId="0" fillId="4" borderId="18" xfId="0" applyNumberFormat="1" applyFill="1" applyBorder="1"/>
    <xf numFmtId="10" fontId="0" fillId="4" borderId="5" xfId="0" applyNumberFormat="1" applyFill="1" applyBorder="1"/>
    <xf numFmtId="2" fontId="0" fillId="5" borderId="3" xfId="0" applyNumberFormat="1" applyFill="1" applyBorder="1"/>
    <xf numFmtId="2" fontId="0" fillId="5" borderId="21" xfId="0" applyNumberFormat="1" applyFill="1" applyBorder="1"/>
    <xf numFmtId="2" fontId="0" fillId="5" borderId="23" xfId="0" applyNumberFormat="1" applyFill="1" applyBorder="1"/>
    <xf numFmtId="0" fontId="0" fillId="3" borderId="24" xfId="0" applyFill="1" applyBorder="1" applyAlignment="1">
      <alignment horizontal="left"/>
    </xf>
    <xf numFmtId="0" fontId="0" fillId="3" borderId="25" xfId="0" applyFill="1" applyBorder="1" applyAlignment="1">
      <alignment horizontal="left"/>
    </xf>
    <xf numFmtId="0" fontId="0" fillId="3" borderId="25" xfId="0" applyFill="1" applyBorder="1" applyAlignment="1">
      <alignment horizontal="left" wrapText="1"/>
    </xf>
    <xf numFmtId="4" fontId="0" fillId="4" borderId="16" xfId="0" applyNumberFormat="1" applyFill="1" applyBorder="1" applyAlignment="1">
      <alignment horizontal="right"/>
    </xf>
    <xf numFmtId="10" fontId="0" fillId="4" borderId="18" xfId="0" applyNumberFormat="1" applyFill="1" applyBorder="1" applyAlignment="1">
      <alignment horizontal="right"/>
    </xf>
    <xf numFmtId="4" fontId="0" fillId="5" borderId="18" xfId="0" applyNumberFormat="1" applyFill="1" applyBorder="1" applyAlignment="1">
      <alignment horizontal="right"/>
    </xf>
    <xf numFmtId="4" fontId="0" fillId="4" borderId="18" xfId="0" applyNumberFormat="1" applyFill="1" applyBorder="1" applyAlignment="1">
      <alignment horizontal="right"/>
    </xf>
    <xf numFmtId="0" fontId="0" fillId="4" borderId="18" xfId="0" applyFill="1" applyBorder="1" applyAlignment="1">
      <alignment horizontal="right"/>
    </xf>
    <xf numFmtId="0" fontId="0" fillId="6" borderId="0" xfId="0" applyFill="1"/>
    <xf numFmtId="0" fontId="0" fillId="6" borderId="0" xfId="0" applyFill="1" applyBorder="1"/>
    <xf numFmtId="0" fontId="0" fillId="3" borderId="28" xfId="0" applyFill="1" applyBorder="1" applyAlignment="1">
      <alignment horizontal="left"/>
    </xf>
    <xf numFmtId="0" fontId="0" fillId="4" borderId="27" xfId="0" applyFill="1" applyBorder="1" applyAlignment="1">
      <alignment horizontal="right"/>
    </xf>
    <xf numFmtId="0" fontId="0" fillId="3" borderId="29" xfId="0" applyFill="1" applyBorder="1" applyAlignment="1">
      <alignment horizontal="left"/>
    </xf>
    <xf numFmtId="10" fontId="0" fillId="4" borderId="30" xfId="0" applyNumberFormat="1" applyFill="1" applyBorder="1" applyAlignment="1">
      <alignment horizontal="right"/>
    </xf>
    <xf numFmtId="9" fontId="0" fillId="4" borderId="18" xfId="0" applyNumberFormat="1" applyFill="1" applyBorder="1" applyAlignment="1">
      <alignment horizontal="right"/>
    </xf>
    <xf numFmtId="0" fontId="0" fillId="0" borderId="0" xfId="0" applyFill="1" applyBorder="1"/>
    <xf numFmtId="0" fontId="0" fillId="0" borderId="0" xfId="0" applyNumberFormat="1" applyFill="1" applyBorder="1"/>
    <xf numFmtId="0" fontId="0" fillId="0" borderId="0" xfId="0" applyBorder="1"/>
    <xf numFmtId="0" fontId="0" fillId="0" borderId="0" xfId="0" applyBorder="1" applyAlignment="1">
      <alignment wrapText="1"/>
    </xf>
    <xf numFmtId="0" fontId="5" fillId="0" borderId="30" xfId="1" applyBorder="1" applyAlignment="1">
      <alignment horizontal="left" vertical="center" wrapText="1"/>
    </xf>
    <xf numFmtId="0" fontId="5" fillId="0" borderId="18" xfId="1" applyBorder="1" applyAlignment="1">
      <alignment horizontal="left" vertical="center" wrapText="1"/>
    </xf>
    <xf numFmtId="0" fontId="5" fillId="0" borderId="18" xfId="1" applyFill="1" applyBorder="1" applyAlignment="1">
      <alignment horizontal="left" vertical="center" wrapText="1"/>
    </xf>
    <xf numFmtId="0" fontId="5" fillId="0" borderId="18" xfId="1" applyBorder="1" applyAlignment="1"/>
    <xf numFmtId="0" fontId="5" fillId="0" borderId="19" xfId="1" applyBorder="1" applyAlignment="1">
      <alignment horizontal="left" vertical="center" wrapText="1"/>
    </xf>
    <xf numFmtId="0" fontId="6" fillId="0" borderId="32" xfId="1" applyFont="1" applyBorder="1" applyAlignment="1">
      <alignment horizontal="center" vertical="center" wrapText="1"/>
    </xf>
    <xf numFmtId="14" fontId="0" fillId="5" borderId="35" xfId="0" applyNumberFormat="1" applyFill="1" applyBorder="1" applyAlignment="1">
      <alignment horizontal="center"/>
    </xf>
    <xf numFmtId="0" fontId="0" fillId="0" borderId="32" xfId="0" applyFill="1" applyBorder="1" applyAlignment="1">
      <alignment horizontal="center" vertical="center"/>
    </xf>
    <xf numFmtId="0" fontId="0" fillId="0" borderId="31" xfId="0" applyFill="1" applyBorder="1" applyAlignment="1">
      <alignment horizontal="center" vertical="center"/>
    </xf>
    <xf numFmtId="2" fontId="0" fillId="5" borderId="33" xfId="0" applyNumberFormat="1" applyFill="1" applyBorder="1" applyAlignment="1">
      <alignment horizontal="center" vertical="center"/>
    </xf>
    <xf numFmtId="2" fontId="0" fillId="5" borderId="34" xfId="0" applyNumberFormat="1" applyFill="1" applyBorder="1" applyAlignment="1">
      <alignment horizontal="center" vertical="center"/>
    </xf>
    <xf numFmtId="10" fontId="0" fillId="4" borderId="30" xfId="0" applyNumberFormat="1" applyFill="1" applyBorder="1" applyAlignment="1">
      <alignment horizontal="center" vertical="center"/>
    </xf>
    <xf numFmtId="14" fontId="0" fillId="0" borderId="32" xfId="0" applyNumberFormat="1" applyFill="1" applyBorder="1" applyAlignment="1">
      <alignment horizontal="center" vertical="center"/>
    </xf>
    <xf numFmtId="14" fontId="0" fillId="4" borderId="16" xfId="0" applyNumberFormat="1" applyFill="1" applyBorder="1" applyAlignment="1">
      <alignment horizontal="center" vertical="center"/>
    </xf>
    <xf numFmtId="14" fontId="0" fillId="4" borderId="18" xfId="0" applyNumberFormat="1" applyFill="1" applyBorder="1" applyAlignment="1">
      <alignment horizontal="center" vertical="center"/>
    </xf>
    <xf numFmtId="14" fontId="0" fillId="4" borderId="30" xfId="0" applyNumberFormat="1" applyFill="1" applyBorder="1" applyAlignment="1">
      <alignment horizontal="center" vertical="center"/>
    </xf>
    <xf numFmtId="0" fontId="0" fillId="6" borderId="0" xfId="0" applyNumberFormat="1" applyFill="1" applyBorder="1"/>
    <xf numFmtId="10" fontId="0" fillId="6" borderId="21" xfId="0" applyNumberFormat="1" applyFill="1" applyBorder="1"/>
    <xf numFmtId="0" fontId="8" fillId="6" borderId="36" xfId="0" applyFont="1" applyFill="1" applyBorder="1"/>
    <xf numFmtId="0" fontId="8" fillId="6" borderId="20" xfId="0" applyFont="1" applyFill="1" applyBorder="1"/>
    <xf numFmtId="1" fontId="0" fillId="6" borderId="21" xfId="0" applyNumberFormat="1" applyFill="1" applyBorder="1"/>
    <xf numFmtId="1" fontId="0" fillId="6" borderId="1" xfId="0" applyNumberFormat="1" applyFill="1" applyBorder="1"/>
    <xf numFmtId="1" fontId="0" fillId="4" borderId="32" xfId="0" applyNumberFormat="1" applyFont="1" applyFill="1" applyBorder="1" applyAlignment="1">
      <alignment horizontal="center"/>
    </xf>
    <xf numFmtId="10" fontId="0" fillId="0" borderId="30" xfId="0" applyNumberFormat="1" applyFill="1" applyBorder="1"/>
    <xf numFmtId="10" fontId="0" fillId="4" borderId="19" xfId="0" applyNumberFormat="1" applyFill="1" applyBorder="1"/>
    <xf numFmtId="10" fontId="0" fillId="0" borderId="37" xfId="0" applyNumberFormat="1" applyFill="1" applyBorder="1"/>
    <xf numFmtId="10" fontId="0" fillId="0" borderId="36" xfId="0" applyNumberFormat="1" applyFill="1" applyBorder="1"/>
    <xf numFmtId="0" fontId="0" fillId="7" borderId="0" xfId="0" applyNumberFormat="1" applyFill="1" applyBorder="1"/>
    <xf numFmtId="10" fontId="0" fillId="7" borderId="0" xfId="0" applyNumberFormat="1" applyFill="1" applyBorder="1"/>
    <xf numFmtId="10" fontId="0" fillId="4" borderId="25" xfId="0" applyNumberFormat="1" applyFill="1" applyBorder="1" applyAlignment="1">
      <alignment horizontal="right"/>
    </xf>
    <xf numFmtId="10" fontId="11" fillId="5" borderId="1" xfId="0" applyNumberFormat="1" applyFont="1" applyFill="1" applyBorder="1" applyAlignment="1">
      <alignment horizontal="right"/>
    </xf>
    <xf numFmtId="2" fontId="11" fillId="5" borderId="1" xfId="0" applyNumberFormat="1" applyFont="1" applyFill="1" applyBorder="1" applyAlignment="1">
      <alignment horizontal="right"/>
    </xf>
    <xf numFmtId="10" fontId="0" fillId="4" borderId="29" xfId="0" applyNumberFormat="1" applyFill="1" applyBorder="1" applyAlignment="1">
      <alignment horizontal="right"/>
    </xf>
    <xf numFmtId="10" fontId="11" fillId="5" borderId="21" xfId="0" applyNumberFormat="1" applyFont="1" applyFill="1" applyBorder="1" applyAlignment="1">
      <alignment horizontal="right"/>
    </xf>
    <xf numFmtId="2" fontId="11" fillId="5" borderId="21" xfId="0" applyNumberFormat="1" applyFont="1" applyFill="1" applyBorder="1" applyAlignment="1">
      <alignment horizontal="right"/>
    </xf>
    <xf numFmtId="0" fontId="0" fillId="3" borderId="13" xfId="0" applyFill="1" applyBorder="1" applyAlignment="1">
      <alignment horizontal="left"/>
    </xf>
    <xf numFmtId="0" fontId="0" fillId="3" borderId="32" xfId="0" applyFill="1" applyBorder="1" applyAlignment="1">
      <alignment horizontal="left"/>
    </xf>
    <xf numFmtId="0" fontId="0" fillId="6" borderId="6" xfId="0" applyFill="1" applyBorder="1"/>
    <xf numFmtId="0" fontId="0" fillId="6" borderId="7" xfId="0" applyFill="1" applyBorder="1"/>
    <xf numFmtId="0" fontId="0" fillId="6" borderId="8" xfId="0" applyFill="1" applyBorder="1"/>
    <xf numFmtId="0" fontId="0" fillId="6" borderId="9" xfId="0" applyFill="1" applyBorder="1"/>
    <xf numFmtId="0" fontId="0" fillId="6" borderId="11" xfId="0" applyFill="1" applyBorder="1"/>
    <xf numFmtId="10" fontId="0" fillId="6" borderId="9" xfId="0" applyNumberFormat="1" applyFill="1" applyBorder="1"/>
    <xf numFmtId="10" fontId="0" fillId="6" borderId="11" xfId="0" applyNumberFormat="1" applyFill="1" applyBorder="1"/>
    <xf numFmtId="1" fontId="0" fillId="6" borderId="0" xfId="0" applyNumberFormat="1" applyFill="1" applyBorder="1"/>
    <xf numFmtId="0" fontId="0" fillId="6" borderId="9" xfId="0" applyNumberFormat="1" applyFill="1" applyBorder="1"/>
    <xf numFmtId="0" fontId="0" fillId="6" borderId="11" xfId="0" applyNumberFormat="1" applyFill="1" applyBorder="1"/>
    <xf numFmtId="0" fontId="0" fillId="6" borderId="10" xfId="0" applyNumberFormat="1" applyFill="1" applyBorder="1"/>
    <xf numFmtId="0" fontId="0" fillId="6" borderId="12" xfId="0" applyFill="1" applyBorder="1"/>
    <xf numFmtId="0" fontId="0" fillId="6" borderId="12" xfId="0" applyNumberFormat="1" applyFill="1" applyBorder="1"/>
    <xf numFmtId="0" fontId="0" fillId="6" borderId="20" xfId="0" applyNumberFormat="1" applyFill="1" applyBorder="1"/>
    <xf numFmtId="0" fontId="10" fillId="2" borderId="6" xfId="0" applyFont="1" applyFill="1" applyBorder="1"/>
    <xf numFmtId="0" fontId="0" fillId="2" borderId="7" xfId="0" applyFill="1" applyBorder="1"/>
    <xf numFmtId="0" fontId="0" fillId="7" borderId="7" xfId="0" applyFill="1" applyBorder="1"/>
    <xf numFmtId="0" fontId="0" fillId="2" borderId="0" xfId="0" applyFill="1" applyBorder="1"/>
    <xf numFmtId="0" fontId="0" fillId="7" borderId="0" xfId="0" applyFill="1" applyBorder="1"/>
    <xf numFmtId="10" fontId="0" fillId="2" borderId="0" xfId="0" applyNumberFormat="1" applyFill="1" applyBorder="1"/>
    <xf numFmtId="9" fontId="0" fillId="2" borderId="0" xfId="0" applyNumberFormat="1" applyFill="1" applyBorder="1"/>
    <xf numFmtId="0" fontId="0" fillId="7" borderId="11" xfId="0" applyNumberFormat="1" applyFill="1" applyBorder="1"/>
    <xf numFmtId="0" fontId="0" fillId="2" borderId="9" xfId="0" applyFill="1" applyBorder="1"/>
    <xf numFmtId="0" fontId="0" fillId="2" borderId="10" xfId="0" applyFill="1" applyBorder="1"/>
    <xf numFmtId="9" fontId="0" fillId="2" borderId="12" xfId="0" applyNumberFormat="1" applyFill="1" applyBorder="1"/>
    <xf numFmtId="0" fontId="0" fillId="2" borderId="12" xfId="0" applyFill="1" applyBorder="1"/>
    <xf numFmtId="0" fontId="0" fillId="7" borderId="12" xfId="0" applyNumberFormat="1" applyFill="1" applyBorder="1"/>
    <xf numFmtId="0" fontId="0" fillId="7" borderId="20" xfId="0" applyNumberFormat="1" applyFill="1" applyBorder="1"/>
    <xf numFmtId="2" fontId="0" fillId="7" borderId="0" xfId="0" applyNumberFormat="1" applyFill="1" applyBorder="1"/>
    <xf numFmtId="0" fontId="0" fillId="7" borderId="7" xfId="0" applyNumberFormat="1" applyFill="1" applyBorder="1"/>
    <xf numFmtId="0" fontId="0" fillId="7" borderId="8" xfId="0" applyNumberFormat="1" applyFill="1" applyBorder="1"/>
    <xf numFmtId="10" fontId="3" fillId="5" borderId="19" xfId="0" applyNumberFormat="1" applyFont="1" applyFill="1" applyBorder="1" applyAlignment="1">
      <alignment horizontal="right"/>
    </xf>
    <xf numFmtId="0" fontId="14" fillId="3" borderId="28" xfId="0" applyFont="1" applyFill="1" applyBorder="1" applyAlignment="1">
      <alignment horizontal="left"/>
    </xf>
    <xf numFmtId="10" fontId="15" fillId="4" borderId="27" xfId="0" applyNumberFormat="1" applyFont="1" applyFill="1" applyBorder="1" applyAlignment="1">
      <alignment horizontal="right"/>
    </xf>
    <xf numFmtId="0" fontId="1" fillId="3" borderId="5" xfId="0" applyFont="1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10" fontId="0" fillId="2" borderId="0" xfId="0" applyNumberFormat="1" applyFill="1" applyBorder="1" applyAlignment="1">
      <alignment horizontal="center" vertical="center"/>
    </xf>
    <xf numFmtId="10" fontId="0" fillId="0" borderId="2" xfId="0" applyNumberFormat="1" applyFill="1" applyBorder="1"/>
    <xf numFmtId="10" fontId="0" fillId="0" borderId="16" xfId="0" applyNumberFormat="1" applyFill="1" applyBorder="1"/>
    <xf numFmtId="2" fontId="0" fillId="4" borderId="25" xfId="0" applyNumberFormat="1" applyFill="1" applyBorder="1" applyAlignment="1">
      <alignment horizontal="right"/>
    </xf>
    <xf numFmtId="0" fontId="12" fillId="3" borderId="26" xfId="0" applyFont="1" applyFill="1" applyBorder="1" applyAlignment="1">
      <alignment horizontal="left"/>
    </xf>
    <xf numFmtId="10" fontId="0" fillId="3" borderId="32" xfId="0" applyNumberFormat="1" applyFill="1" applyBorder="1" applyAlignment="1">
      <alignment horizontal="center" vertical="center"/>
    </xf>
    <xf numFmtId="10" fontId="2" fillId="3" borderId="32" xfId="0" applyNumberFormat="1" applyFont="1" applyFill="1" applyBorder="1" applyAlignment="1">
      <alignment horizontal="center" vertical="center"/>
    </xf>
    <xf numFmtId="10" fontId="1" fillId="3" borderId="4" xfId="0" applyNumberFormat="1" applyFont="1" applyFill="1" applyBorder="1" applyAlignment="1">
      <alignment horizontal="left" vertical="center"/>
    </xf>
    <xf numFmtId="10" fontId="12" fillId="8" borderId="13" xfId="0" applyNumberFormat="1" applyFont="1" applyFill="1" applyBorder="1" applyAlignment="1">
      <alignment horizontal="center"/>
    </xf>
    <xf numFmtId="0" fontId="12" fillId="8" borderId="14" xfId="0" applyFont="1" applyFill="1" applyBorder="1" applyAlignment="1"/>
    <xf numFmtId="0" fontId="13" fillId="8" borderId="14" xfId="0" applyFont="1" applyFill="1" applyBorder="1" applyAlignment="1"/>
    <xf numFmtId="0" fontId="13" fillId="8" borderId="15" xfId="0" applyFont="1" applyFill="1" applyBorder="1" applyAlignment="1"/>
    <xf numFmtId="0" fontId="7" fillId="0" borderId="13" xfId="0" applyFont="1" applyFill="1" applyBorder="1" applyAlignment="1">
      <alignment horizontal="center"/>
    </xf>
    <xf numFmtId="0" fontId="4" fillId="0" borderId="14" xfId="0" applyFont="1" applyBorder="1" applyAlignment="1"/>
    <xf numFmtId="0" fontId="4" fillId="0" borderId="15" xfId="0" applyFont="1" applyBorder="1" applyAlignment="1"/>
    <xf numFmtId="0" fontId="7" fillId="0" borderId="6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10" fontId="1" fillId="3" borderId="2" xfId="0" applyNumberFormat="1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35" xfId="0" applyNumberFormat="1" applyFont="1" applyFill="1" applyBorder="1" applyAlignment="1">
      <alignment horizontal="center" vertical="center" textRotation="90"/>
    </xf>
    <xf numFmtId="0" fontId="1" fillId="3" borderId="17" xfId="0" applyNumberFormat="1" applyFont="1" applyFill="1" applyBorder="1" applyAlignment="1">
      <alignment horizontal="center" vertical="center" textRotation="90"/>
    </xf>
    <xf numFmtId="0" fontId="1" fillId="3" borderId="36" xfId="0" applyNumberFormat="1" applyFont="1" applyFill="1" applyBorder="1" applyAlignment="1">
      <alignment horizontal="center" vertical="center" textRotation="90"/>
    </xf>
    <xf numFmtId="0" fontId="7" fillId="0" borderId="7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20" xfId="0" applyFont="1" applyBorder="1" applyAlignment="1">
      <alignment horizontal="center" vertical="center"/>
    </xf>
    <xf numFmtId="10" fontId="2" fillId="3" borderId="13" xfId="0" applyNumberFormat="1" applyFont="1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0" fontId="12" fillId="8" borderId="13" xfId="0" applyFont="1" applyFill="1" applyBorder="1" applyAlignment="1">
      <alignment horizontal="center"/>
    </xf>
    <xf numFmtId="0" fontId="3" fillId="0" borderId="13" xfId="0" applyFont="1" applyFill="1" applyBorder="1" applyAlignment="1">
      <alignment horizontal="center"/>
    </xf>
    <xf numFmtId="0" fontId="3" fillId="0" borderId="14" xfId="0" applyFont="1" applyBorder="1" applyAlignment="1"/>
    <xf numFmtId="0" fontId="9" fillId="0" borderId="14" xfId="0" applyFont="1" applyBorder="1" applyAlignment="1"/>
    <xf numFmtId="0" fontId="0" fillId="0" borderId="14" xfId="0" applyBorder="1" applyAlignment="1"/>
    <xf numFmtId="0" fontId="0" fillId="0" borderId="15" xfId="0" applyBorder="1" applyAlignment="1"/>
  </cellXfs>
  <cellStyles count="2">
    <cellStyle name="Обычный" xfId="0" builtinId="0"/>
    <cellStyle name="Пояснение" xfId="1" builtinId="53"/>
  </cellStyles>
  <dxfs count="1">
    <dxf>
      <fill>
        <patternFill>
          <bgColor theme="1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Convertible bond coupon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4504334566122554"/>
          <c:y val="0.12689695170267407"/>
          <c:w val="0.807657261592301"/>
          <c:h val="0.76343614224116596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ConvBond!$Q$3</c:f>
              <c:strCache>
                <c:ptCount val="1"/>
                <c:pt idx="0">
                  <c:v>Convertible bond coupon</c:v>
                </c:pt>
              </c:strCache>
            </c:strRef>
          </c:tx>
          <c:spPr>
            <a:ln>
              <a:miter lim="800000"/>
            </a:ln>
          </c:spPr>
          <c:xVal>
            <c:numRef>
              <c:f>ConvBond!$P$4:$P$20</c:f>
              <c:numCache>
                <c:formatCode>0.00%</c:formatCode>
                <c:ptCount val="17"/>
                <c:pt idx="0">
                  <c:v>5.0000000000000001E-3</c:v>
                </c:pt>
                <c:pt idx="1">
                  <c:v>7.4999999999999997E-3</c:v>
                </c:pt>
                <c:pt idx="2">
                  <c:v>0.01</c:v>
                </c:pt>
                <c:pt idx="3">
                  <c:v>1.2500000000000001E-2</c:v>
                </c:pt>
                <c:pt idx="4">
                  <c:v>1.4999999999999999E-2</c:v>
                </c:pt>
                <c:pt idx="5">
                  <c:v>1.7500000000000002E-2</c:v>
                </c:pt>
                <c:pt idx="6">
                  <c:v>0.02</c:v>
                </c:pt>
                <c:pt idx="7">
                  <c:v>2.2499999999999999E-2</c:v>
                </c:pt>
                <c:pt idx="8">
                  <c:v>2.5000000000000001E-2</c:v>
                </c:pt>
                <c:pt idx="9">
                  <c:v>2.75E-2</c:v>
                </c:pt>
                <c:pt idx="10">
                  <c:v>0.03</c:v>
                </c:pt>
                <c:pt idx="11">
                  <c:v>3.2500000000000001E-2</c:v>
                </c:pt>
                <c:pt idx="12">
                  <c:v>3.5000000000000003E-2</c:v>
                </c:pt>
                <c:pt idx="13">
                  <c:v>3.7499999999999999E-2</c:v>
                </c:pt>
                <c:pt idx="14">
                  <c:v>0.04</c:v>
                </c:pt>
                <c:pt idx="15">
                  <c:v>4.2500000000000003E-2</c:v>
                </c:pt>
                <c:pt idx="16">
                  <c:v>4.4999999999999998E-2</c:v>
                </c:pt>
              </c:numCache>
            </c:numRef>
          </c:xVal>
          <c:yVal>
            <c:numRef>
              <c:f>ConvBond!$Q$4:$Q$20</c:f>
              <c:numCache>
                <c:formatCode>0.00%</c:formatCode>
                <c:ptCount val="17"/>
                <c:pt idx="0">
                  <c:v>1.8764400130706987E-2</c:v>
                </c:pt>
                <c:pt idx="1">
                  <c:v>2.1427765392336071E-2</c:v>
                </c:pt>
                <c:pt idx="2">
                  <c:v>2.2106563118122161E-2</c:v>
                </c:pt>
                <c:pt idx="3">
                  <c:v>2.27568527859149E-2</c:v>
                </c:pt>
                <c:pt idx="4">
                  <c:v>2.3376338197630357E-2</c:v>
                </c:pt>
                <c:pt idx="5">
                  <c:v>2.3967997586529413E-2</c:v>
                </c:pt>
                <c:pt idx="6">
                  <c:v>2.4546682716321974E-2</c:v>
                </c:pt>
                <c:pt idx="7">
                  <c:v>2.5109062081006005E-2</c:v>
                </c:pt>
                <c:pt idx="8">
                  <c:v>2.565863869499194E-2</c:v>
                </c:pt>
                <c:pt idx="9">
                  <c:v>2.565863869499194E-2</c:v>
                </c:pt>
                <c:pt idx="10">
                  <c:v>2.565863869499194E-2</c:v>
                </c:pt>
                <c:pt idx="11">
                  <c:v>2.565863869499194E-2</c:v>
                </c:pt>
                <c:pt idx="12">
                  <c:v>2.565863869499194E-2</c:v>
                </c:pt>
                <c:pt idx="13">
                  <c:v>2.565863869499194E-2</c:v>
                </c:pt>
                <c:pt idx="14">
                  <c:v>2.565863869499194E-2</c:v>
                </c:pt>
                <c:pt idx="15">
                  <c:v>2.565863869499194E-2</c:v>
                </c:pt>
                <c:pt idx="16">
                  <c:v>2.565863869499194E-2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233728"/>
        <c:axId val="220235648"/>
      </c:scatterChart>
      <c:valAx>
        <c:axId val="220233728"/>
        <c:scaling>
          <c:orientation val="minMax"/>
        </c:scaling>
        <c:delete val="0"/>
        <c:axPos val="b"/>
        <c:majorGridlines>
          <c:spPr>
            <a:ln>
              <a:prstDash val="lgDash"/>
            </a:ln>
          </c:spPr>
        </c:majorGridlines>
        <c:title>
          <c:tx>
            <c:strRef>
              <c:f>ConvBond!$P$3</c:f>
              <c:strCache>
                <c:ptCount val="1"/>
                <c:pt idx="0">
                  <c:v>Div. protection level</c:v>
                </c:pt>
              </c:strCache>
            </c:strRef>
          </c:tx>
          <c:layout/>
          <c:overlay val="0"/>
        </c:title>
        <c:numFmt formatCode="0.00%" sourceLinked="1"/>
        <c:majorTickMark val="out"/>
        <c:minorTickMark val="none"/>
        <c:tickLblPos val="nextTo"/>
        <c:crossAx val="220235648"/>
        <c:crosses val="autoZero"/>
        <c:crossBetween val="midCat"/>
      </c:valAx>
      <c:valAx>
        <c:axId val="220235648"/>
        <c:scaling>
          <c:orientation val="minMax"/>
        </c:scaling>
        <c:delete val="0"/>
        <c:axPos val="l"/>
        <c:majorGridlines>
          <c:spPr>
            <a:ln>
              <a:prstDash val="lgDash"/>
            </a:ln>
          </c:spPr>
        </c:majorGridlines>
        <c:numFmt formatCode="0.00%" sourceLinked="1"/>
        <c:majorTickMark val="out"/>
        <c:minorTickMark val="none"/>
        <c:tickLblPos val="nextTo"/>
        <c:crossAx val="2202337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9292904877053142"/>
          <c:y val="0.75908612586217417"/>
          <c:w val="0.37807005202899219"/>
          <c:h val="0.11462711347128121"/>
        </c:manualLayout>
      </c:layout>
      <c:overlay val="0"/>
      <c:txPr>
        <a:bodyPr/>
        <a:lstStyle/>
        <a:p>
          <a:pPr>
            <a:defRPr sz="1400"/>
          </a:pPr>
          <a:endParaRPr lang="ru-RU"/>
        </a:p>
      </c:txPr>
    </c:legend>
    <c:plotVisOnly val="1"/>
    <c:dispBlanksAs val="gap"/>
    <c:showDLblsOverMax val="0"/>
  </c:chart>
  <c:spPr>
    <a:ln>
      <a:solidFill>
        <a:schemeClr val="tx1"/>
      </a:solidFill>
    </a:ln>
  </c:spPr>
  <c:txPr>
    <a:bodyPr/>
    <a:lstStyle/>
    <a:p>
      <a:pPr>
        <a:defRPr>
          <a:latin typeface="Arial" pitchFamily="34" charset="0"/>
          <a:cs typeface="Arial" pitchFamily="34" charset="0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Cost</a:t>
            </a:r>
            <a:r>
              <a:rPr lang="en-US" baseline="0"/>
              <a:t> of capital analysis</a:t>
            </a:r>
          </a:p>
        </c:rich>
      </c:tx>
      <c:layout>
        <c:manualLayout>
          <c:xMode val="edge"/>
          <c:yMode val="edge"/>
          <c:x val="0.39493277394969134"/>
          <c:y val="4.776118904049944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7.4022735445360408E-2"/>
          <c:y val="4.4199477449733029E-2"/>
          <c:w val="0.90470668661419951"/>
          <c:h val="0.83778170515723072"/>
        </c:manualLayout>
      </c:layout>
      <c:lineChart>
        <c:grouping val="standard"/>
        <c:varyColors val="0"/>
        <c:ser>
          <c:idx val="0"/>
          <c:order val="0"/>
          <c:tx>
            <c:strRef>
              <c:f>ConvBond!$S$46</c:f>
              <c:strCache>
                <c:ptCount val="1"/>
                <c:pt idx="0">
                  <c:v>Debt rate</c:v>
                </c:pt>
              </c:strCache>
            </c:strRef>
          </c:tx>
          <c:marker>
            <c:symbol val="none"/>
          </c:marker>
          <c:cat>
            <c:multiLvlStrRef>
              <c:f>ConvBond!$P$47:$R$73</c:f>
              <c:multiLvlStrCache>
                <c:ptCount val="27"/>
                <c:lvl>
                  <c:pt idx="0">
                    <c:v>9.19</c:v>
                  </c:pt>
                  <c:pt idx="1">
                    <c:v>9.43</c:v>
                  </c:pt>
                  <c:pt idx="2">
                    <c:v>9.67</c:v>
                  </c:pt>
                  <c:pt idx="3">
                    <c:v>9.92</c:v>
                  </c:pt>
                  <c:pt idx="4">
                    <c:v>10.18</c:v>
                  </c:pt>
                  <c:pt idx="5">
                    <c:v>10.44</c:v>
                  </c:pt>
                  <c:pt idx="6">
                    <c:v>10.70</c:v>
                  </c:pt>
                  <c:pt idx="7">
                    <c:v>10.97</c:v>
                  </c:pt>
                  <c:pt idx="8">
                    <c:v>11.25</c:v>
                  </c:pt>
                  <c:pt idx="9">
                    <c:v>11.53</c:v>
                  </c:pt>
                  <c:pt idx="10">
                    <c:v>11.81</c:v>
                  </c:pt>
                  <c:pt idx="11">
                    <c:v>12.11</c:v>
                  </c:pt>
                  <c:pt idx="12">
                    <c:v>12.40</c:v>
                  </c:pt>
                  <c:pt idx="13">
                    <c:v>12.71</c:v>
                  </c:pt>
                  <c:pt idx="14">
                    <c:v>13.02</c:v>
                  </c:pt>
                  <c:pt idx="15">
                    <c:v>13.33</c:v>
                  </c:pt>
                  <c:pt idx="16">
                    <c:v>13.66</c:v>
                  </c:pt>
                  <c:pt idx="17">
                    <c:v>13.98</c:v>
                  </c:pt>
                  <c:pt idx="18">
                    <c:v>14.32</c:v>
                  </c:pt>
                  <c:pt idx="19">
                    <c:v>14.66</c:v>
                  </c:pt>
                  <c:pt idx="20">
                    <c:v>15.01</c:v>
                  </c:pt>
                  <c:pt idx="21">
                    <c:v>15.36</c:v>
                  </c:pt>
                  <c:pt idx="22">
                    <c:v>15.72</c:v>
                  </c:pt>
                  <c:pt idx="23">
                    <c:v>16.09</c:v>
                  </c:pt>
                  <c:pt idx="24">
                    <c:v>16.46</c:v>
                  </c:pt>
                  <c:pt idx="25">
                    <c:v>16.84</c:v>
                  </c:pt>
                  <c:pt idx="26">
                    <c:v>17.23</c:v>
                  </c:pt>
                </c:lvl>
                <c:lvl>
                  <c:pt idx="0">
                    <c:v>-14.13%</c:v>
                  </c:pt>
                  <c:pt idx="1">
                    <c:v>-11.89%</c:v>
                  </c:pt>
                  <c:pt idx="2">
                    <c:v>-9.61%</c:v>
                  </c:pt>
                  <c:pt idx="3">
                    <c:v>-7.28%</c:v>
                  </c:pt>
                  <c:pt idx="4">
                    <c:v>-4.90%</c:v>
                  </c:pt>
                  <c:pt idx="5">
                    <c:v>-2.48%</c:v>
                  </c:pt>
                  <c:pt idx="6">
                    <c:v>0.00%</c:v>
                  </c:pt>
                  <c:pt idx="7">
                    <c:v>2.53%</c:v>
                  </c:pt>
                  <c:pt idx="8">
                    <c:v>5.10%</c:v>
                  </c:pt>
                  <c:pt idx="9">
                    <c:v>7.73%</c:v>
                  </c:pt>
                  <c:pt idx="10">
                    <c:v>10.41%</c:v>
                  </c:pt>
                  <c:pt idx="11">
                    <c:v>13.14%</c:v>
                  </c:pt>
                  <c:pt idx="12">
                    <c:v>15.93%</c:v>
                  </c:pt>
                  <c:pt idx="13">
                    <c:v>18.77%</c:v>
                  </c:pt>
                  <c:pt idx="14">
                    <c:v>21.67%</c:v>
                  </c:pt>
                  <c:pt idx="15">
                    <c:v>24.62%</c:v>
                  </c:pt>
                  <c:pt idx="16">
                    <c:v>27.63%</c:v>
                  </c:pt>
                  <c:pt idx="17">
                    <c:v>30.70%</c:v>
                  </c:pt>
                  <c:pt idx="18">
                    <c:v>33.82%</c:v>
                  </c:pt>
                  <c:pt idx="19">
                    <c:v>37.01%</c:v>
                  </c:pt>
                  <c:pt idx="20">
                    <c:v>40.26%</c:v>
                  </c:pt>
                  <c:pt idx="21">
                    <c:v>43.56%</c:v>
                  </c:pt>
                  <c:pt idx="22">
                    <c:v>46.93%</c:v>
                  </c:pt>
                  <c:pt idx="23">
                    <c:v>50.37%</c:v>
                  </c:pt>
                  <c:pt idx="24">
                    <c:v>53.86%</c:v>
                  </c:pt>
                  <c:pt idx="25">
                    <c:v>57.42%</c:v>
                  </c:pt>
                  <c:pt idx="26">
                    <c:v>61.05%</c:v>
                  </c:pt>
                </c:lvl>
                <c:lvl>
                  <c:pt idx="0">
                    <c:v>-3.00%</c:v>
                  </c:pt>
                  <c:pt idx="1">
                    <c:v>-2.50%</c:v>
                  </c:pt>
                  <c:pt idx="2">
                    <c:v>-2.00%</c:v>
                  </c:pt>
                  <c:pt idx="3">
                    <c:v>-1.50%</c:v>
                  </c:pt>
                  <c:pt idx="4">
                    <c:v>-1.00%</c:v>
                  </c:pt>
                  <c:pt idx="5">
                    <c:v>-0.50%</c:v>
                  </c:pt>
                  <c:pt idx="6">
                    <c:v>0.00%</c:v>
                  </c:pt>
                  <c:pt idx="7">
                    <c:v>0.50%</c:v>
                  </c:pt>
                  <c:pt idx="8">
                    <c:v>1.00%</c:v>
                  </c:pt>
                  <c:pt idx="9">
                    <c:v>1.50%</c:v>
                  </c:pt>
                  <c:pt idx="10">
                    <c:v>2.00%</c:v>
                  </c:pt>
                  <c:pt idx="11">
                    <c:v>2.50%</c:v>
                  </c:pt>
                  <c:pt idx="12">
                    <c:v>3.00%</c:v>
                  </c:pt>
                  <c:pt idx="13">
                    <c:v>3.50%</c:v>
                  </c:pt>
                  <c:pt idx="14">
                    <c:v>4.00%</c:v>
                  </c:pt>
                  <c:pt idx="15">
                    <c:v>4.50%</c:v>
                  </c:pt>
                  <c:pt idx="16">
                    <c:v>5.00%</c:v>
                  </c:pt>
                  <c:pt idx="17">
                    <c:v>5.50%</c:v>
                  </c:pt>
                  <c:pt idx="18">
                    <c:v>6.00%</c:v>
                  </c:pt>
                  <c:pt idx="19">
                    <c:v>6.50%</c:v>
                  </c:pt>
                  <c:pt idx="20">
                    <c:v>7.00%</c:v>
                  </c:pt>
                  <c:pt idx="21">
                    <c:v>7.50%</c:v>
                  </c:pt>
                  <c:pt idx="22">
                    <c:v>8.00%</c:v>
                  </c:pt>
                  <c:pt idx="23">
                    <c:v>8.50%</c:v>
                  </c:pt>
                  <c:pt idx="24">
                    <c:v>9.00%</c:v>
                  </c:pt>
                  <c:pt idx="25">
                    <c:v>9.50%</c:v>
                  </c:pt>
                  <c:pt idx="26">
                    <c:v>10.00%</c:v>
                  </c:pt>
                </c:lvl>
              </c:multiLvlStrCache>
            </c:multiLvlStrRef>
          </c:cat>
          <c:val>
            <c:numRef>
              <c:f>ConvBond!$S$47:$S$73</c:f>
              <c:numCache>
                <c:formatCode>0.00%</c:formatCode>
                <c:ptCount val="27"/>
                <c:pt idx="0">
                  <c:v>3.5150000000000001E-2</c:v>
                </c:pt>
                <c:pt idx="1">
                  <c:v>3.5150000000000001E-2</c:v>
                </c:pt>
                <c:pt idx="2">
                  <c:v>3.5150000000000001E-2</c:v>
                </c:pt>
                <c:pt idx="3">
                  <c:v>3.5150000000000001E-2</c:v>
                </c:pt>
                <c:pt idx="4">
                  <c:v>3.5150000000000001E-2</c:v>
                </c:pt>
                <c:pt idx="5">
                  <c:v>3.5150000000000001E-2</c:v>
                </c:pt>
                <c:pt idx="6">
                  <c:v>3.5150000000000001E-2</c:v>
                </c:pt>
                <c:pt idx="7">
                  <c:v>3.5150000000000001E-2</c:v>
                </c:pt>
                <c:pt idx="8">
                  <c:v>3.5150000000000001E-2</c:v>
                </c:pt>
                <c:pt idx="9">
                  <c:v>3.5150000000000001E-2</c:v>
                </c:pt>
                <c:pt idx="10">
                  <c:v>3.5150000000000001E-2</c:v>
                </c:pt>
                <c:pt idx="11">
                  <c:v>3.5150000000000001E-2</c:v>
                </c:pt>
                <c:pt idx="12">
                  <c:v>3.5150000000000001E-2</c:v>
                </c:pt>
                <c:pt idx="13">
                  <c:v>3.5150000000000001E-2</c:v>
                </c:pt>
                <c:pt idx="14">
                  <c:v>3.5150000000000001E-2</c:v>
                </c:pt>
                <c:pt idx="15">
                  <c:v>3.5150000000000001E-2</c:v>
                </c:pt>
                <c:pt idx="16">
                  <c:v>3.5150000000000001E-2</c:v>
                </c:pt>
                <c:pt idx="17">
                  <c:v>3.5150000000000001E-2</c:v>
                </c:pt>
                <c:pt idx="18">
                  <c:v>3.5150000000000001E-2</c:v>
                </c:pt>
                <c:pt idx="19">
                  <c:v>3.5150000000000001E-2</c:v>
                </c:pt>
                <c:pt idx="20">
                  <c:v>3.5150000000000001E-2</c:v>
                </c:pt>
                <c:pt idx="21">
                  <c:v>3.5150000000000001E-2</c:v>
                </c:pt>
                <c:pt idx="22">
                  <c:v>3.5150000000000001E-2</c:v>
                </c:pt>
                <c:pt idx="23">
                  <c:v>3.5150000000000001E-2</c:v>
                </c:pt>
                <c:pt idx="24">
                  <c:v>3.5150000000000001E-2</c:v>
                </c:pt>
                <c:pt idx="25">
                  <c:v>3.5150000000000001E-2</c:v>
                </c:pt>
                <c:pt idx="26">
                  <c:v>3.5150000000000001E-2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ConvBond!$T$46</c:f>
              <c:strCache>
                <c:ptCount val="1"/>
                <c:pt idx="0">
                  <c:v>Common Equity</c:v>
                </c:pt>
              </c:strCache>
            </c:strRef>
          </c:tx>
          <c:marker>
            <c:symbol val="none"/>
          </c:marker>
          <c:cat>
            <c:multiLvlStrRef>
              <c:f>ConvBond!$P$47:$R$73</c:f>
              <c:multiLvlStrCache>
                <c:ptCount val="27"/>
                <c:lvl>
                  <c:pt idx="0">
                    <c:v>9.19</c:v>
                  </c:pt>
                  <c:pt idx="1">
                    <c:v>9.43</c:v>
                  </c:pt>
                  <c:pt idx="2">
                    <c:v>9.67</c:v>
                  </c:pt>
                  <c:pt idx="3">
                    <c:v>9.92</c:v>
                  </c:pt>
                  <c:pt idx="4">
                    <c:v>10.18</c:v>
                  </c:pt>
                  <c:pt idx="5">
                    <c:v>10.44</c:v>
                  </c:pt>
                  <c:pt idx="6">
                    <c:v>10.70</c:v>
                  </c:pt>
                  <c:pt idx="7">
                    <c:v>10.97</c:v>
                  </c:pt>
                  <c:pt idx="8">
                    <c:v>11.25</c:v>
                  </c:pt>
                  <c:pt idx="9">
                    <c:v>11.53</c:v>
                  </c:pt>
                  <c:pt idx="10">
                    <c:v>11.81</c:v>
                  </c:pt>
                  <c:pt idx="11">
                    <c:v>12.11</c:v>
                  </c:pt>
                  <c:pt idx="12">
                    <c:v>12.40</c:v>
                  </c:pt>
                  <c:pt idx="13">
                    <c:v>12.71</c:v>
                  </c:pt>
                  <c:pt idx="14">
                    <c:v>13.02</c:v>
                  </c:pt>
                  <c:pt idx="15">
                    <c:v>13.33</c:v>
                  </c:pt>
                  <c:pt idx="16">
                    <c:v>13.66</c:v>
                  </c:pt>
                  <c:pt idx="17">
                    <c:v>13.98</c:v>
                  </c:pt>
                  <c:pt idx="18">
                    <c:v>14.32</c:v>
                  </c:pt>
                  <c:pt idx="19">
                    <c:v>14.66</c:v>
                  </c:pt>
                  <c:pt idx="20">
                    <c:v>15.01</c:v>
                  </c:pt>
                  <c:pt idx="21">
                    <c:v>15.36</c:v>
                  </c:pt>
                  <c:pt idx="22">
                    <c:v>15.72</c:v>
                  </c:pt>
                  <c:pt idx="23">
                    <c:v>16.09</c:v>
                  </c:pt>
                  <c:pt idx="24">
                    <c:v>16.46</c:v>
                  </c:pt>
                  <c:pt idx="25">
                    <c:v>16.84</c:v>
                  </c:pt>
                  <c:pt idx="26">
                    <c:v>17.23</c:v>
                  </c:pt>
                </c:lvl>
                <c:lvl>
                  <c:pt idx="0">
                    <c:v>-14.13%</c:v>
                  </c:pt>
                  <c:pt idx="1">
                    <c:v>-11.89%</c:v>
                  </c:pt>
                  <c:pt idx="2">
                    <c:v>-9.61%</c:v>
                  </c:pt>
                  <c:pt idx="3">
                    <c:v>-7.28%</c:v>
                  </c:pt>
                  <c:pt idx="4">
                    <c:v>-4.90%</c:v>
                  </c:pt>
                  <c:pt idx="5">
                    <c:v>-2.48%</c:v>
                  </c:pt>
                  <c:pt idx="6">
                    <c:v>0.00%</c:v>
                  </c:pt>
                  <c:pt idx="7">
                    <c:v>2.53%</c:v>
                  </c:pt>
                  <c:pt idx="8">
                    <c:v>5.10%</c:v>
                  </c:pt>
                  <c:pt idx="9">
                    <c:v>7.73%</c:v>
                  </c:pt>
                  <c:pt idx="10">
                    <c:v>10.41%</c:v>
                  </c:pt>
                  <c:pt idx="11">
                    <c:v>13.14%</c:v>
                  </c:pt>
                  <c:pt idx="12">
                    <c:v>15.93%</c:v>
                  </c:pt>
                  <c:pt idx="13">
                    <c:v>18.77%</c:v>
                  </c:pt>
                  <c:pt idx="14">
                    <c:v>21.67%</c:v>
                  </c:pt>
                  <c:pt idx="15">
                    <c:v>24.62%</c:v>
                  </c:pt>
                  <c:pt idx="16">
                    <c:v>27.63%</c:v>
                  </c:pt>
                  <c:pt idx="17">
                    <c:v>30.70%</c:v>
                  </c:pt>
                  <c:pt idx="18">
                    <c:v>33.82%</c:v>
                  </c:pt>
                  <c:pt idx="19">
                    <c:v>37.01%</c:v>
                  </c:pt>
                  <c:pt idx="20">
                    <c:v>40.26%</c:v>
                  </c:pt>
                  <c:pt idx="21">
                    <c:v>43.56%</c:v>
                  </c:pt>
                  <c:pt idx="22">
                    <c:v>46.93%</c:v>
                  </c:pt>
                  <c:pt idx="23">
                    <c:v>50.37%</c:v>
                  </c:pt>
                  <c:pt idx="24">
                    <c:v>53.86%</c:v>
                  </c:pt>
                  <c:pt idx="25">
                    <c:v>57.42%</c:v>
                  </c:pt>
                  <c:pt idx="26">
                    <c:v>61.05%</c:v>
                  </c:pt>
                </c:lvl>
                <c:lvl>
                  <c:pt idx="0">
                    <c:v>-3.00%</c:v>
                  </c:pt>
                  <c:pt idx="1">
                    <c:v>-2.50%</c:v>
                  </c:pt>
                  <c:pt idx="2">
                    <c:v>-2.00%</c:v>
                  </c:pt>
                  <c:pt idx="3">
                    <c:v>-1.50%</c:v>
                  </c:pt>
                  <c:pt idx="4">
                    <c:v>-1.00%</c:v>
                  </c:pt>
                  <c:pt idx="5">
                    <c:v>-0.50%</c:v>
                  </c:pt>
                  <c:pt idx="6">
                    <c:v>0.00%</c:v>
                  </c:pt>
                  <c:pt idx="7">
                    <c:v>0.50%</c:v>
                  </c:pt>
                  <c:pt idx="8">
                    <c:v>1.00%</c:v>
                  </c:pt>
                  <c:pt idx="9">
                    <c:v>1.50%</c:v>
                  </c:pt>
                  <c:pt idx="10">
                    <c:v>2.00%</c:v>
                  </c:pt>
                  <c:pt idx="11">
                    <c:v>2.50%</c:v>
                  </c:pt>
                  <c:pt idx="12">
                    <c:v>3.00%</c:v>
                  </c:pt>
                  <c:pt idx="13">
                    <c:v>3.50%</c:v>
                  </c:pt>
                  <c:pt idx="14">
                    <c:v>4.00%</c:v>
                  </c:pt>
                  <c:pt idx="15">
                    <c:v>4.50%</c:v>
                  </c:pt>
                  <c:pt idx="16">
                    <c:v>5.00%</c:v>
                  </c:pt>
                  <c:pt idx="17">
                    <c:v>5.50%</c:v>
                  </c:pt>
                  <c:pt idx="18">
                    <c:v>6.00%</c:v>
                  </c:pt>
                  <c:pt idx="19">
                    <c:v>6.50%</c:v>
                  </c:pt>
                  <c:pt idx="20">
                    <c:v>7.00%</c:v>
                  </c:pt>
                  <c:pt idx="21">
                    <c:v>7.50%</c:v>
                  </c:pt>
                  <c:pt idx="22">
                    <c:v>8.00%</c:v>
                  </c:pt>
                  <c:pt idx="23">
                    <c:v>8.50%</c:v>
                  </c:pt>
                  <c:pt idx="24">
                    <c:v>9.00%</c:v>
                  </c:pt>
                  <c:pt idx="25">
                    <c:v>9.50%</c:v>
                  </c:pt>
                  <c:pt idx="26">
                    <c:v>10.00%</c:v>
                  </c:pt>
                </c:lvl>
              </c:multiLvlStrCache>
            </c:multiLvlStrRef>
          </c:cat>
          <c:val>
            <c:numRef>
              <c:f>ConvBond!$T$47:$T$73</c:f>
              <c:numCache>
                <c:formatCode>0.00%</c:formatCode>
                <c:ptCount val="27"/>
                <c:pt idx="0">
                  <c:v>-4.9999999999999975E-3</c:v>
                </c:pt>
                <c:pt idx="1">
                  <c:v>0</c:v>
                </c:pt>
                <c:pt idx="2">
                  <c:v>5.000000000000001E-3</c:v>
                </c:pt>
                <c:pt idx="3">
                  <c:v>1.0000000000000002E-2</c:v>
                </c:pt>
                <c:pt idx="4">
                  <c:v>1.5000000000000001E-2</c:v>
                </c:pt>
                <c:pt idx="5">
                  <c:v>0.02</c:v>
                </c:pt>
                <c:pt idx="6">
                  <c:v>2.5000000000000001E-2</c:v>
                </c:pt>
                <c:pt idx="7">
                  <c:v>3.0000000000000002E-2</c:v>
                </c:pt>
                <c:pt idx="8">
                  <c:v>3.5000000000000003E-2</c:v>
                </c:pt>
                <c:pt idx="9">
                  <c:v>0.04</c:v>
                </c:pt>
                <c:pt idx="10">
                  <c:v>4.4999999999999998E-2</c:v>
                </c:pt>
                <c:pt idx="11">
                  <c:v>0.05</c:v>
                </c:pt>
                <c:pt idx="12">
                  <c:v>5.5E-2</c:v>
                </c:pt>
                <c:pt idx="13">
                  <c:v>6.0000000000000005E-2</c:v>
                </c:pt>
                <c:pt idx="14">
                  <c:v>6.5000000000000002E-2</c:v>
                </c:pt>
                <c:pt idx="15">
                  <c:v>7.0000000000000007E-2</c:v>
                </c:pt>
                <c:pt idx="16">
                  <c:v>7.5000000000000011E-2</c:v>
                </c:pt>
                <c:pt idx="17">
                  <c:v>0.08</c:v>
                </c:pt>
                <c:pt idx="18">
                  <c:v>8.4999999999999992E-2</c:v>
                </c:pt>
                <c:pt idx="19">
                  <c:v>0.09</c:v>
                </c:pt>
                <c:pt idx="20">
                  <c:v>9.5000000000000001E-2</c:v>
                </c:pt>
                <c:pt idx="21">
                  <c:v>0.1</c:v>
                </c:pt>
                <c:pt idx="22">
                  <c:v>0.10500000000000001</c:v>
                </c:pt>
                <c:pt idx="23">
                  <c:v>0.11000000000000001</c:v>
                </c:pt>
                <c:pt idx="24">
                  <c:v>0.11499999999999999</c:v>
                </c:pt>
                <c:pt idx="25">
                  <c:v>0.12</c:v>
                </c:pt>
                <c:pt idx="26">
                  <c:v>0.125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ConvBond!$U$46</c:f>
              <c:strCache>
                <c:ptCount val="1"/>
                <c:pt idx="0">
                  <c:v>Convertible rate</c:v>
                </c:pt>
              </c:strCache>
            </c:strRef>
          </c:tx>
          <c:spPr>
            <a:ln>
              <a:miter lim="800000"/>
            </a:ln>
          </c:spPr>
          <c:marker>
            <c:symbol val="none"/>
          </c:marker>
          <c:cat>
            <c:multiLvlStrRef>
              <c:f>ConvBond!$P$47:$R$73</c:f>
              <c:multiLvlStrCache>
                <c:ptCount val="27"/>
                <c:lvl>
                  <c:pt idx="0">
                    <c:v>9.19</c:v>
                  </c:pt>
                  <c:pt idx="1">
                    <c:v>9.43</c:v>
                  </c:pt>
                  <c:pt idx="2">
                    <c:v>9.67</c:v>
                  </c:pt>
                  <c:pt idx="3">
                    <c:v>9.92</c:v>
                  </c:pt>
                  <c:pt idx="4">
                    <c:v>10.18</c:v>
                  </c:pt>
                  <c:pt idx="5">
                    <c:v>10.44</c:v>
                  </c:pt>
                  <c:pt idx="6">
                    <c:v>10.70</c:v>
                  </c:pt>
                  <c:pt idx="7">
                    <c:v>10.97</c:v>
                  </c:pt>
                  <c:pt idx="8">
                    <c:v>11.25</c:v>
                  </c:pt>
                  <c:pt idx="9">
                    <c:v>11.53</c:v>
                  </c:pt>
                  <c:pt idx="10">
                    <c:v>11.81</c:v>
                  </c:pt>
                  <c:pt idx="11">
                    <c:v>12.11</c:v>
                  </c:pt>
                  <c:pt idx="12">
                    <c:v>12.40</c:v>
                  </c:pt>
                  <c:pt idx="13">
                    <c:v>12.71</c:v>
                  </c:pt>
                  <c:pt idx="14">
                    <c:v>13.02</c:v>
                  </c:pt>
                  <c:pt idx="15">
                    <c:v>13.33</c:v>
                  </c:pt>
                  <c:pt idx="16">
                    <c:v>13.66</c:v>
                  </c:pt>
                  <c:pt idx="17">
                    <c:v>13.98</c:v>
                  </c:pt>
                  <c:pt idx="18">
                    <c:v>14.32</c:v>
                  </c:pt>
                  <c:pt idx="19">
                    <c:v>14.66</c:v>
                  </c:pt>
                  <c:pt idx="20">
                    <c:v>15.01</c:v>
                  </c:pt>
                  <c:pt idx="21">
                    <c:v>15.36</c:v>
                  </c:pt>
                  <c:pt idx="22">
                    <c:v>15.72</c:v>
                  </c:pt>
                  <c:pt idx="23">
                    <c:v>16.09</c:v>
                  </c:pt>
                  <c:pt idx="24">
                    <c:v>16.46</c:v>
                  </c:pt>
                  <c:pt idx="25">
                    <c:v>16.84</c:v>
                  </c:pt>
                  <c:pt idx="26">
                    <c:v>17.23</c:v>
                  </c:pt>
                </c:lvl>
                <c:lvl>
                  <c:pt idx="0">
                    <c:v>-14.13%</c:v>
                  </c:pt>
                  <c:pt idx="1">
                    <c:v>-11.89%</c:v>
                  </c:pt>
                  <c:pt idx="2">
                    <c:v>-9.61%</c:v>
                  </c:pt>
                  <c:pt idx="3">
                    <c:v>-7.28%</c:v>
                  </c:pt>
                  <c:pt idx="4">
                    <c:v>-4.90%</c:v>
                  </c:pt>
                  <c:pt idx="5">
                    <c:v>-2.48%</c:v>
                  </c:pt>
                  <c:pt idx="6">
                    <c:v>0.00%</c:v>
                  </c:pt>
                  <c:pt idx="7">
                    <c:v>2.53%</c:v>
                  </c:pt>
                  <c:pt idx="8">
                    <c:v>5.10%</c:v>
                  </c:pt>
                  <c:pt idx="9">
                    <c:v>7.73%</c:v>
                  </c:pt>
                  <c:pt idx="10">
                    <c:v>10.41%</c:v>
                  </c:pt>
                  <c:pt idx="11">
                    <c:v>13.14%</c:v>
                  </c:pt>
                  <c:pt idx="12">
                    <c:v>15.93%</c:v>
                  </c:pt>
                  <c:pt idx="13">
                    <c:v>18.77%</c:v>
                  </c:pt>
                  <c:pt idx="14">
                    <c:v>21.67%</c:v>
                  </c:pt>
                  <c:pt idx="15">
                    <c:v>24.62%</c:v>
                  </c:pt>
                  <c:pt idx="16">
                    <c:v>27.63%</c:v>
                  </c:pt>
                  <c:pt idx="17">
                    <c:v>30.70%</c:v>
                  </c:pt>
                  <c:pt idx="18">
                    <c:v>33.82%</c:v>
                  </c:pt>
                  <c:pt idx="19">
                    <c:v>37.01%</c:v>
                  </c:pt>
                  <c:pt idx="20">
                    <c:v>40.26%</c:v>
                  </c:pt>
                  <c:pt idx="21">
                    <c:v>43.56%</c:v>
                  </c:pt>
                  <c:pt idx="22">
                    <c:v>46.93%</c:v>
                  </c:pt>
                  <c:pt idx="23">
                    <c:v>50.37%</c:v>
                  </c:pt>
                  <c:pt idx="24">
                    <c:v>53.86%</c:v>
                  </c:pt>
                  <c:pt idx="25">
                    <c:v>57.42%</c:v>
                  </c:pt>
                  <c:pt idx="26">
                    <c:v>61.05%</c:v>
                  </c:pt>
                </c:lvl>
                <c:lvl>
                  <c:pt idx="0">
                    <c:v>-3.00%</c:v>
                  </c:pt>
                  <c:pt idx="1">
                    <c:v>-2.50%</c:v>
                  </c:pt>
                  <c:pt idx="2">
                    <c:v>-2.00%</c:v>
                  </c:pt>
                  <c:pt idx="3">
                    <c:v>-1.50%</c:v>
                  </c:pt>
                  <c:pt idx="4">
                    <c:v>-1.00%</c:v>
                  </c:pt>
                  <c:pt idx="5">
                    <c:v>-0.50%</c:v>
                  </c:pt>
                  <c:pt idx="6">
                    <c:v>0.00%</c:v>
                  </c:pt>
                  <c:pt idx="7">
                    <c:v>0.50%</c:v>
                  </c:pt>
                  <c:pt idx="8">
                    <c:v>1.00%</c:v>
                  </c:pt>
                  <c:pt idx="9">
                    <c:v>1.50%</c:v>
                  </c:pt>
                  <c:pt idx="10">
                    <c:v>2.00%</c:v>
                  </c:pt>
                  <c:pt idx="11">
                    <c:v>2.50%</c:v>
                  </c:pt>
                  <c:pt idx="12">
                    <c:v>3.00%</c:v>
                  </c:pt>
                  <c:pt idx="13">
                    <c:v>3.50%</c:v>
                  </c:pt>
                  <c:pt idx="14">
                    <c:v>4.00%</c:v>
                  </c:pt>
                  <c:pt idx="15">
                    <c:v>4.50%</c:v>
                  </c:pt>
                  <c:pt idx="16">
                    <c:v>5.00%</c:v>
                  </c:pt>
                  <c:pt idx="17">
                    <c:v>5.50%</c:v>
                  </c:pt>
                  <c:pt idx="18">
                    <c:v>6.00%</c:v>
                  </c:pt>
                  <c:pt idx="19">
                    <c:v>6.50%</c:v>
                  </c:pt>
                  <c:pt idx="20">
                    <c:v>7.00%</c:v>
                  </c:pt>
                  <c:pt idx="21">
                    <c:v>7.50%</c:v>
                  </c:pt>
                  <c:pt idx="22">
                    <c:v>8.00%</c:v>
                  </c:pt>
                  <c:pt idx="23">
                    <c:v>8.50%</c:v>
                  </c:pt>
                  <c:pt idx="24">
                    <c:v>9.00%</c:v>
                  </c:pt>
                  <c:pt idx="25">
                    <c:v>9.50%</c:v>
                  </c:pt>
                  <c:pt idx="26">
                    <c:v>10.00%</c:v>
                  </c:pt>
                </c:lvl>
              </c:multiLvlStrCache>
            </c:multiLvlStrRef>
          </c:cat>
          <c:val>
            <c:numRef>
              <c:f>ConvBond!$U$47:$U$73</c:f>
              <c:numCache>
                <c:formatCode>0.00%</c:formatCode>
                <c:ptCount val="27"/>
                <c:pt idx="0">
                  <c:v>2.3376338197630357E-2</c:v>
                </c:pt>
                <c:pt idx="1">
                  <c:v>2.3376338197630357E-2</c:v>
                </c:pt>
                <c:pt idx="2">
                  <c:v>2.3376338197630357E-2</c:v>
                </c:pt>
                <c:pt idx="3">
                  <c:v>2.3376338197630357E-2</c:v>
                </c:pt>
                <c:pt idx="4">
                  <c:v>2.3376338197630357E-2</c:v>
                </c:pt>
                <c:pt idx="5">
                  <c:v>2.3376338197630357E-2</c:v>
                </c:pt>
                <c:pt idx="6">
                  <c:v>2.3376338197630357E-2</c:v>
                </c:pt>
                <c:pt idx="7">
                  <c:v>2.3376338197630357E-2</c:v>
                </c:pt>
                <c:pt idx="8">
                  <c:v>2.3376338197630357E-2</c:v>
                </c:pt>
                <c:pt idx="9">
                  <c:v>2.3376338197630357E-2</c:v>
                </c:pt>
                <c:pt idx="10">
                  <c:v>2.3376338197630357E-2</c:v>
                </c:pt>
                <c:pt idx="11">
                  <c:v>2.3376338197630357E-2</c:v>
                </c:pt>
                <c:pt idx="12">
                  <c:v>2.3376338197630357E-2</c:v>
                </c:pt>
                <c:pt idx="13">
                  <c:v>2.3376338197630357E-2</c:v>
                </c:pt>
                <c:pt idx="14">
                  <c:v>2.3376338197630357E-2</c:v>
                </c:pt>
                <c:pt idx="15">
                  <c:v>2.3376338197630357E-2</c:v>
                </c:pt>
                <c:pt idx="16">
                  <c:v>2.3376338197630357E-2</c:v>
                </c:pt>
                <c:pt idx="17">
                  <c:v>2.3376338197630357E-2</c:v>
                </c:pt>
                <c:pt idx="18">
                  <c:v>2.5364728665699943E-2</c:v>
                </c:pt>
                <c:pt idx="19">
                  <c:v>3.0091088998096538E-2</c:v>
                </c:pt>
                <c:pt idx="20">
                  <c:v>3.4817449330493133E-2</c:v>
                </c:pt>
                <c:pt idx="21">
                  <c:v>3.9543809662889728E-2</c:v>
                </c:pt>
                <c:pt idx="22">
                  <c:v>4.4270169995286324E-2</c:v>
                </c:pt>
                <c:pt idx="23">
                  <c:v>4.8996530327682697E-2</c:v>
                </c:pt>
                <c:pt idx="24">
                  <c:v>5.3722890660079292E-2</c:v>
                </c:pt>
                <c:pt idx="25">
                  <c:v>5.8449250992475887E-2</c:v>
                </c:pt>
                <c:pt idx="26">
                  <c:v>6.3175611324872483E-2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1416832"/>
        <c:axId val="221422720"/>
      </c:lineChart>
      <c:catAx>
        <c:axId val="221416832"/>
        <c:scaling>
          <c:orientation val="minMax"/>
        </c:scaling>
        <c:delete val="0"/>
        <c:axPos val="b"/>
        <c:numFmt formatCode="#,##0;\-#,##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800" b="1" i="0"/>
            </a:pPr>
            <a:endParaRPr lang="ru-RU"/>
          </a:p>
        </c:txPr>
        <c:crossAx val="221422720"/>
        <c:crosses val="autoZero"/>
        <c:auto val="1"/>
        <c:lblAlgn val="ctr"/>
        <c:lblOffset val="100"/>
        <c:tickMarkSkip val="1"/>
        <c:noMultiLvlLbl val="0"/>
      </c:catAx>
      <c:valAx>
        <c:axId val="221422720"/>
        <c:scaling>
          <c:orientation val="minMax"/>
          <c:min val="0"/>
        </c:scaling>
        <c:delete val="0"/>
        <c:axPos val="l"/>
        <c:majorGridlines>
          <c:spPr>
            <a:ln>
              <a:prstDash val="lgDash"/>
            </a:ln>
          </c:spPr>
        </c:majorGridlines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200">
                <a:latin typeface="Arial" pitchFamily="34" charset="0"/>
                <a:cs typeface="Arial" pitchFamily="34" charset="0"/>
              </a:defRPr>
            </a:pPr>
            <a:endParaRPr lang="ru-RU"/>
          </a:p>
        </c:txPr>
        <c:crossAx val="2214168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7.2908899712359254E-2"/>
          <c:y val="6.0342535947952386E-2"/>
          <c:w val="0.17107257369431594"/>
          <c:h val="0.19782961953826064"/>
        </c:manualLayout>
      </c:layout>
      <c:overlay val="0"/>
      <c:txPr>
        <a:bodyPr/>
        <a:lstStyle/>
        <a:p>
          <a:pPr>
            <a:defRPr sz="1600"/>
          </a:pPr>
          <a:endParaRPr lang="ru-RU"/>
        </a:p>
      </c:txPr>
    </c:legend>
    <c:plotVisOnly val="1"/>
    <c:dispBlanksAs val="gap"/>
    <c:showDLblsOverMax val="0"/>
  </c:chart>
  <c:txPr>
    <a:bodyPr/>
    <a:lstStyle/>
    <a:p>
      <a:pPr>
        <a:defRPr>
          <a:latin typeface="Arial Narrow" pitchFamily="34" charset="0"/>
          <a:cs typeface="Arial" pitchFamily="34" charset="0"/>
        </a:defRPr>
      </a:pPr>
      <a:endParaRPr lang="ru-RU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ConvBond!$Q$103</c:f>
          <c:strCache>
            <c:ptCount val="1"/>
            <c:pt idx="0">
              <c:v>Convertible bond coupon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4504334566122554"/>
          <c:y val="0.12689695170267407"/>
          <c:w val="0.807657261592301"/>
          <c:h val="0.76343614224116596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ConvBond!$Q$103</c:f>
              <c:strCache>
                <c:ptCount val="1"/>
                <c:pt idx="0">
                  <c:v>Convertible bond coupon</c:v>
                </c:pt>
              </c:strCache>
            </c:strRef>
          </c:tx>
          <c:spPr>
            <a:ln>
              <a:miter lim="800000"/>
            </a:ln>
          </c:spPr>
          <c:xVal>
            <c:numRef>
              <c:f>ConvBond!$P$104:$P$120</c:f>
              <c:numCache>
                <c:formatCode>0.00%</c:formatCode>
                <c:ptCount val="17"/>
                <c:pt idx="0">
                  <c:v>1.4999999999999999E-2</c:v>
                </c:pt>
                <c:pt idx="1">
                  <c:v>1.7500000000000002E-2</c:v>
                </c:pt>
                <c:pt idx="2">
                  <c:v>0.02</c:v>
                </c:pt>
                <c:pt idx="3">
                  <c:v>2.2499999999999999E-2</c:v>
                </c:pt>
                <c:pt idx="4">
                  <c:v>2.5000000000000001E-2</c:v>
                </c:pt>
                <c:pt idx="5">
                  <c:v>2.75E-2</c:v>
                </c:pt>
                <c:pt idx="6">
                  <c:v>0.03</c:v>
                </c:pt>
                <c:pt idx="7">
                  <c:v>3.2500000000000001E-2</c:v>
                </c:pt>
                <c:pt idx="8">
                  <c:v>3.5000000000000003E-2</c:v>
                </c:pt>
                <c:pt idx="9">
                  <c:v>3.7499999999999999E-2</c:v>
                </c:pt>
                <c:pt idx="10">
                  <c:v>0.04</c:v>
                </c:pt>
                <c:pt idx="11">
                  <c:v>4.2500000000000003E-2</c:v>
                </c:pt>
                <c:pt idx="12">
                  <c:v>4.4999999999999998E-2</c:v>
                </c:pt>
                <c:pt idx="13">
                  <c:v>4.7500000000000001E-2</c:v>
                </c:pt>
                <c:pt idx="14">
                  <c:v>0.05</c:v>
                </c:pt>
                <c:pt idx="15">
                  <c:v>5.2499999999999998E-2</c:v>
                </c:pt>
                <c:pt idx="16">
                  <c:v>5.5E-2</c:v>
                </c:pt>
              </c:numCache>
            </c:numRef>
          </c:xVal>
          <c:yVal>
            <c:numRef>
              <c:f>ConvBond!$Q$104:$Q$120</c:f>
              <c:numCache>
                <c:formatCode>0.00%</c:formatCode>
                <c:ptCount val="17"/>
                <c:pt idx="0">
                  <c:v>1.049094266644013E-2</c:v>
                </c:pt>
                <c:pt idx="1">
                  <c:v>1.2642927297707808E-2</c:v>
                </c:pt>
                <c:pt idx="2">
                  <c:v>1.4782399850754102E-2</c:v>
                </c:pt>
                <c:pt idx="3">
                  <c:v>1.6917803161951114E-2</c:v>
                </c:pt>
                <c:pt idx="4">
                  <c:v>1.9046849595485808E-2</c:v>
                </c:pt>
                <c:pt idx="5">
                  <c:v>2.1171396047891304E-2</c:v>
                </c:pt>
                <c:pt idx="6">
                  <c:v>2.3291750513473836E-2</c:v>
                </c:pt>
                <c:pt idx="7">
                  <c:v>2.5404096770327719E-2</c:v>
                </c:pt>
                <c:pt idx="8">
                  <c:v>2.7510017880497045E-2</c:v>
                </c:pt>
                <c:pt idx="9">
                  <c:v>2.9608957866172542E-2</c:v>
                </c:pt>
                <c:pt idx="10">
                  <c:v>3.1701569953479967E-2</c:v>
                </c:pt>
                <c:pt idx="11">
                  <c:v>3.378942652440324E-2</c:v>
                </c:pt>
                <c:pt idx="12">
                  <c:v>3.5871896207943545E-2</c:v>
                </c:pt>
                <c:pt idx="13">
                  <c:v>3.7951743472425109E-2</c:v>
                </c:pt>
                <c:pt idx="14">
                  <c:v>4.0028429369467752E-2</c:v>
                </c:pt>
                <c:pt idx="15">
                  <c:v>4.2102938880939106E-2</c:v>
                </c:pt>
                <c:pt idx="16">
                  <c:v>4.4174803535013012E-2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440256"/>
        <c:axId val="221450624"/>
      </c:scatterChart>
      <c:valAx>
        <c:axId val="221440256"/>
        <c:scaling>
          <c:orientation val="minMax"/>
        </c:scaling>
        <c:delete val="0"/>
        <c:axPos val="b"/>
        <c:majorGridlines>
          <c:spPr>
            <a:ln w="9525">
              <a:prstDash val="lgDash"/>
            </a:ln>
          </c:spPr>
        </c:majorGridlines>
        <c:title>
          <c:tx>
            <c:strRef>
              <c:f>ConvBond!$P$103</c:f>
              <c:strCache>
                <c:ptCount val="1"/>
                <c:pt idx="0">
                  <c:v>credit spread</c:v>
                </c:pt>
              </c:strCache>
            </c:strRef>
          </c:tx>
          <c:layout>
            <c:manualLayout>
              <c:xMode val="edge"/>
              <c:yMode val="edge"/>
              <c:x val="0.46190405150086539"/>
              <c:y val="0.95150699197670996"/>
            </c:manualLayout>
          </c:layout>
          <c:overlay val="0"/>
        </c:title>
        <c:numFmt formatCode="0.00%" sourceLinked="1"/>
        <c:majorTickMark val="out"/>
        <c:minorTickMark val="none"/>
        <c:tickLblPos val="nextTo"/>
        <c:crossAx val="221450624"/>
        <c:crosses val="autoZero"/>
        <c:crossBetween val="midCat"/>
      </c:valAx>
      <c:valAx>
        <c:axId val="221450624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tint val="75000"/>
                  <a:shade val="95000"/>
                  <a:satMod val="105000"/>
                </a:schemeClr>
              </a:solidFill>
              <a:prstDash val="lgDash"/>
            </a:ln>
          </c:spPr>
        </c:majorGridlines>
        <c:numFmt formatCode="0.00%" sourceLinked="1"/>
        <c:majorTickMark val="out"/>
        <c:minorTickMark val="none"/>
        <c:tickLblPos val="nextTo"/>
        <c:crossAx val="221440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20106604197884534"/>
          <c:y val="0.14917542606649478"/>
          <c:w val="0.46800583646259508"/>
          <c:h val="5.2909235182811452E-2"/>
        </c:manualLayout>
      </c:layout>
      <c:overlay val="0"/>
      <c:txPr>
        <a:bodyPr/>
        <a:lstStyle/>
        <a:p>
          <a:pPr>
            <a:defRPr sz="1400"/>
          </a:pPr>
          <a:endParaRPr lang="ru-RU"/>
        </a:p>
      </c:txPr>
    </c:legend>
    <c:plotVisOnly val="1"/>
    <c:dispBlanksAs val="gap"/>
    <c:showDLblsOverMax val="0"/>
  </c:chart>
  <c:spPr>
    <a:ln>
      <a:solidFill>
        <a:schemeClr val="tx1"/>
      </a:solidFill>
    </a:ln>
  </c:spPr>
  <c:txPr>
    <a:bodyPr/>
    <a:lstStyle/>
    <a:p>
      <a:pPr>
        <a:defRPr>
          <a:latin typeface="Arial" pitchFamily="34" charset="0"/>
          <a:cs typeface="Arial" pitchFamily="34" charset="0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ConvBond!$Q$141</c:f>
          <c:strCache>
            <c:ptCount val="1"/>
            <c:pt idx="0">
              <c:v>Convertible bond price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4504334566122554"/>
          <c:y val="0.12689695170267407"/>
          <c:w val="0.807657261592301"/>
          <c:h val="0.7634361422411659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ConvBond!$Q$141</c:f>
              <c:strCache>
                <c:ptCount val="1"/>
                <c:pt idx="0">
                  <c:v>Convertible bond price</c:v>
                </c:pt>
              </c:strCache>
            </c:strRef>
          </c:tx>
          <c:spPr>
            <a:ln w="31750">
              <a:solidFill>
                <a:schemeClr val="accent3"/>
              </a:solidFill>
              <a:miter lim="800000"/>
            </a:ln>
          </c:spPr>
          <c:marker>
            <c:symbol val="none"/>
          </c:marker>
          <c:xVal>
            <c:numRef>
              <c:f>ConvBond!$P$142:$P$158</c:f>
              <c:numCache>
                <c:formatCode>0.00</c:formatCode>
                <c:ptCount val="17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</c:numCache>
            </c:numRef>
          </c:xVal>
          <c:yVal>
            <c:numRef>
              <c:f>ConvBond!$Q$142:$Q$158</c:f>
              <c:numCache>
                <c:formatCode>0.00%</c:formatCode>
                <c:ptCount val="17"/>
                <c:pt idx="0">
                  <c:v>0.89789806623591784</c:v>
                </c:pt>
                <c:pt idx="1">
                  <c:v>0.89812079900502806</c:v>
                </c:pt>
                <c:pt idx="2">
                  <c:v>0.89910097083025675</c:v>
                </c:pt>
                <c:pt idx="3">
                  <c:v>0.90204749527075334</c:v>
                </c:pt>
                <c:pt idx="4">
                  <c:v>0.9087192960734034</c:v>
                </c:pt>
                <c:pt idx="5">
                  <c:v>0.91831742474243327</c:v>
                </c:pt>
                <c:pt idx="6">
                  <c:v>0.9325622179533376</c:v>
                </c:pt>
                <c:pt idx="7">
                  <c:v>0.95725899581989959</c:v>
                </c:pt>
                <c:pt idx="8">
                  <c:v>0.97745453573655494</c:v>
                </c:pt>
                <c:pt idx="9">
                  <c:v>1.0086913027044733</c:v>
                </c:pt>
                <c:pt idx="10">
                  <c:v>1.0456453248972331</c:v>
                </c:pt>
                <c:pt idx="11">
                  <c:v>1.0881617301095603</c:v>
                </c:pt>
                <c:pt idx="12">
                  <c:v>1.1246563004273171</c:v>
                </c:pt>
                <c:pt idx="13">
                  <c:v>1.1758345678980504</c:v>
                </c:pt>
                <c:pt idx="14">
                  <c:v>1.23108992324212</c:v>
                </c:pt>
                <c:pt idx="15">
                  <c:v>1.2777050193292889</c:v>
                </c:pt>
                <c:pt idx="16">
                  <c:v>1.339139097238752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ConvBond!$R$141</c:f>
              <c:strCache>
                <c:ptCount val="1"/>
                <c:pt idx="0">
                  <c:v>Intrinsic value</c:v>
                </c:pt>
              </c:strCache>
            </c:strRef>
          </c:tx>
          <c:spPr>
            <a:ln w="31750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ConvBond!$P$142:$P$158</c:f>
              <c:numCache>
                <c:formatCode>0.00</c:formatCode>
                <c:ptCount val="17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</c:numCache>
            </c:numRef>
          </c:xVal>
          <c:yVal>
            <c:numRef>
              <c:f>ConvBond!$R$142:$R$158</c:f>
              <c:numCache>
                <c:formatCode>0.00%</c:formatCode>
                <c:ptCount val="17"/>
                <c:pt idx="0">
                  <c:v>0.14106859460412627</c:v>
                </c:pt>
                <c:pt idx="1">
                  <c:v>0.21160289190618939</c:v>
                </c:pt>
                <c:pt idx="2">
                  <c:v>0.28213718920825254</c:v>
                </c:pt>
                <c:pt idx="3">
                  <c:v>0.35267148651031571</c:v>
                </c:pt>
                <c:pt idx="4">
                  <c:v>0.42320578381237878</c:v>
                </c:pt>
                <c:pt idx="5">
                  <c:v>0.49374008111444195</c:v>
                </c:pt>
                <c:pt idx="6">
                  <c:v>0.56427437841650507</c:v>
                </c:pt>
                <c:pt idx="7">
                  <c:v>0.63480867571856825</c:v>
                </c:pt>
                <c:pt idx="8">
                  <c:v>0.70534297302063143</c:v>
                </c:pt>
                <c:pt idx="9">
                  <c:v>0.7758772703226946</c:v>
                </c:pt>
                <c:pt idx="10">
                  <c:v>0.84641156762475755</c:v>
                </c:pt>
                <c:pt idx="11">
                  <c:v>0.91694586492682073</c:v>
                </c:pt>
                <c:pt idx="12">
                  <c:v>0.98748016222888391</c:v>
                </c:pt>
                <c:pt idx="13">
                  <c:v>1.0580144595309471</c:v>
                </c:pt>
                <c:pt idx="14">
                  <c:v>1.1285487568330101</c:v>
                </c:pt>
                <c:pt idx="15">
                  <c:v>1.1990830541350734</c:v>
                </c:pt>
                <c:pt idx="16">
                  <c:v>1.2696173514371365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ConvBond!$S$141</c:f>
              <c:strCache>
                <c:ptCount val="1"/>
                <c:pt idx="0">
                  <c:v>Bond floor</c:v>
                </c:pt>
              </c:strCache>
            </c:strRef>
          </c:tx>
          <c:spPr>
            <a:ln w="31750">
              <a:solidFill>
                <a:srgbClr val="0070C0"/>
              </a:solidFill>
              <a:prstDash val="sysDash"/>
            </a:ln>
          </c:spPr>
          <c:marker>
            <c:symbol val="none"/>
          </c:marker>
          <c:xVal>
            <c:numRef>
              <c:f>ConvBond!$P$142:$P$158</c:f>
              <c:numCache>
                <c:formatCode>0.00</c:formatCode>
                <c:ptCount val="17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</c:numCache>
            </c:numRef>
          </c:xVal>
          <c:yVal>
            <c:numRef>
              <c:f>ConvBond!$S$142:$S$158</c:f>
              <c:numCache>
                <c:formatCode>0.00%</c:formatCode>
                <c:ptCount val="17"/>
                <c:pt idx="0">
                  <c:v>0.89788746430431399</c:v>
                </c:pt>
                <c:pt idx="1">
                  <c:v>0.89788746430431399</c:v>
                </c:pt>
                <c:pt idx="2">
                  <c:v>0.89788746430431399</c:v>
                </c:pt>
                <c:pt idx="3">
                  <c:v>0.89788746430431399</c:v>
                </c:pt>
                <c:pt idx="4">
                  <c:v>0.89788746430431399</c:v>
                </c:pt>
                <c:pt idx="5">
                  <c:v>0.89788746430431399</c:v>
                </c:pt>
                <c:pt idx="6">
                  <c:v>0.89788746430431399</c:v>
                </c:pt>
                <c:pt idx="7">
                  <c:v>0.89788746430431399</c:v>
                </c:pt>
                <c:pt idx="8">
                  <c:v>0.89788746430431399</c:v>
                </c:pt>
                <c:pt idx="9">
                  <c:v>0.89788746430431399</c:v>
                </c:pt>
                <c:pt idx="10">
                  <c:v>0.89788746430431399</c:v>
                </c:pt>
                <c:pt idx="11">
                  <c:v>0.89788746430431399</c:v>
                </c:pt>
                <c:pt idx="12">
                  <c:v>0.89788746430431399</c:v>
                </c:pt>
                <c:pt idx="13">
                  <c:v>0.89788746430431399</c:v>
                </c:pt>
                <c:pt idx="14">
                  <c:v>0.89788746430431399</c:v>
                </c:pt>
                <c:pt idx="15">
                  <c:v>0.89788746430431399</c:v>
                </c:pt>
                <c:pt idx="16">
                  <c:v>0.89788746430431399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483392"/>
        <c:axId val="221485312"/>
      </c:scatterChart>
      <c:valAx>
        <c:axId val="221483392"/>
        <c:scaling>
          <c:orientation val="minMax"/>
        </c:scaling>
        <c:delete val="0"/>
        <c:axPos val="b"/>
        <c:majorGridlines>
          <c:spPr>
            <a:ln w="9525">
              <a:prstDash val="lgDash"/>
            </a:ln>
          </c:spPr>
        </c:majorGridlines>
        <c:title>
          <c:tx>
            <c:strRef>
              <c:f>ConvBond!$P$141</c:f>
              <c:strCache>
                <c:ptCount val="1"/>
                <c:pt idx="0">
                  <c:v>Sotck price</c:v>
                </c:pt>
              </c:strCache>
            </c:strRef>
          </c:tx>
          <c:layout>
            <c:manualLayout>
              <c:xMode val="edge"/>
              <c:yMode val="edge"/>
              <c:x val="0.46190405150086539"/>
              <c:y val="0.95150699197670996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21485312"/>
        <c:crosses val="autoZero"/>
        <c:crossBetween val="midCat"/>
      </c:valAx>
      <c:valAx>
        <c:axId val="221485312"/>
        <c:scaling>
          <c:orientation val="minMax"/>
          <c:min val="0.8"/>
        </c:scaling>
        <c:delete val="0"/>
        <c:axPos val="l"/>
        <c:majorGridlines>
          <c:spPr>
            <a:ln>
              <a:solidFill>
                <a:schemeClr val="tx1">
                  <a:tint val="75000"/>
                  <a:shade val="95000"/>
                  <a:satMod val="105000"/>
                </a:schemeClr>
              </a:solidFill>
              <a:prstDash val="lgDash"/>
            </a:ln>
          </c:spPr>
        </c:majorGridlines>
        <c:numFmt formatCode="0.00%" sourceLinked="1"/>
        <c:majorTickMark val="out"/>
        <c:minorTickMark val="none"/>
        <c:tickLblPos val="nextTo"/>
        <c:crossAx val="2214833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968998173686079"/>
          <c:y val="0.16473084760917597"/>
          <c:w val="0.46800583646259508"/>
          <c:h val="0.22013127293716686"/>
        </c:manualLayout>
      </c:layout>
      <c:overlay val="0"/>
      <c:txPr>
        <a:bodyPr/>
        <a:lstStyle/>
        <a:p>
          <a:pPr>
            <a:defRPr sz="1400"/>
          </a:pPr>
          <a:endParaRPr lang="ru-RU"/>
        </a:p>
      </c:txPr>
    </c:legend>
    <c:plotVisOnly val="1"/>
    <c:dispBlanksAs val="gap"/>
    <c:showDLblsOverMax val="0"/>
  </c:chart>
  <c:spPr>
    <a:ln>
      <a:solidFill>
        <a:schemeClr val="tx1"/>
      </a:solidFill>
    </a:ln>
  </c:spPr>
  <c:txPr>
    <a:bodyPr/>
    <a:lstStyle/>
    <a:p>
      <a:pPr>
        <a:defRPr>
          <a:latin typeface="Arial" pitchFamily="34" charset="0"/>
          <a:cs typeface="Arial" pitchFamily="34" charset="0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48"/>
    </mc:Choice>
    <mc:Fallback>
      <c:style val="48"/>
    </mc:Fallback>
  </mc:AlternateContent>
  <c:chart>
    <c:autoTitleDeleted val="0"/>
    <c:view3D>
      <c:rotX val="10"/>
      <c:rotY val="70"/>
      <c:depthPercent val="10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8.7928690823536895E-2"/>
          <c:y val="2.9124093938535815E-2"/>
          <c:w val="0.87041784118306798"/>
          <c:h val="0.9058007969147901"/>
        </c:manualLayout>
      </c:layout>
      <c:surface3DChart>
        <c:wireframe val="0"/>
        <c:ser>
          <c:idx val="0"/>
          <c:order val="0"/>
          <c:tx>
            <c:strRef>
              <c:f>ConvBond!$H$6</c:f>
              <c:strCache>
                <c:ptCount val="1"/>
                <c:pt idx="0">
                  <c:v>32.50%</c:v>
                </c:pt>
              </c:strCache>
            </c:strRef>
          </c:tx>
          <c:cat>
            <c:numRef>
              <c:f>ConvBond!$G$7:$G$17</c:f>
              <c:numCache>
                <c:formatCode>0.00%</c:formatCode>
                <c:ptCount val="11"/>
                <c:pt idx="0">
                  <c:v>0.25</c:v>
                </c:pt>
                <c:pt idx="1">
                  <c:v>0.251</c:v>
                </c:pt>
                <c:pt idx="2">
                  <c:v>0.252</c:v>
                </c:pt>
                <c:pt idx="3">
                  <c:v>0.253</c:v>
                </c:pt>
                <c:pt idx="4">
                  <c:v>0.254</c:v>
                </c:pt>
                <c:pt idx="5">
                  <c:v>0.255</c:v>
                </c:pt>
                <c:pt idx="6">
                  <c:v>0.25600000000000001</c:v>
                </c:pt>
                <c:pt idx="7">
                  <c:v>0.25700000000000001</c:v>
                </c:pt>
                <c:pt idx="8">
                  <c:v>0.25800000000000001</c:v>
                </c:pt>
                <c:pt idx="9">
                  <c:v>0.25900000000000001</c:v>
                </c:pt>
                <c:pt idx="10">
                  <c:v>0.26</c:v>
                </c:pt>
              </c:numCache>
            </c:numRef>
          </c:cat>
          <c:val>
            <c:numRef>
              <c:f>ConvBond!$H$7:$H$17</c:f>
              <c:numCache>
                <c:formatCode>0.00%</c:formatCode>
                <c:ptCount val="11"/>
                <c:pt idx="0">
                  <c:v>2.3376338197630357E-2</c:v>
                </c:pt>
                <c:pt idx="1">
                  <c:v>2.3255491235918736E-2</c:v>
                </c:pt>
                <c:pt idx="2">
                  <c:v>2.3133919706396559E-2</c:v>
                </c:pt>
                <c:pt idx="3">
                  <c:v>2.3010490805900903E-2</c:v>
                </c:pt>
                <c:pt idx="4">
                  <c:v>2.2886773497683536E-2</c:v>
                </c:pt>
                <c:pt idx="5">
                  <c:v>2.2763013137926814E-2</c:v>
                </c:pt>
                <c:pt idx="6">
                  <c:v>2.2639366979797411E-2</c:v>
                </c:pt>
                <c:pt idx="7">
                  <c:v>2.2515780975925069E-2</c:v>
                </c:pt>
                <c:pt idx="8">
                  <c:v>2.2392284343495251E-2</c:v>
                </c:pt>
                <c:pt idx="9">
                  <c:v>2.2268839357676137E-2</c:v>
                </c:pt>
                <c:pt idx="10">
                  <c:v>2.214548480576049E-2</c:v>
                </c:pt>
              </c:numCache>
            </c:numRef>
          </c:val>
        </c:ser>
        <c:ser>
          <c:idx val="1"/>
          <c:order val="1"/>
          <c:tx>
            <c:strRef>
              <c:f>ConvBond!$I$6</c:f>
              <c:strCache>
                <c:ptCount val="1"/>
                <c:pt idx="0">
                  <c:v>33.50%</c:v>
                </c:pt>
              </c:strCache>
            </c:strRef>
          </c:tx>
          <c:cat>
            <c:numRef>
              <c:f>ConvBond!$G$7:$G$17</c:f>
              <c:numCache>
                <c:formatCode>0.00%</c:formatCode>
                <c:ptCount val="11"/>
                <c:pt idx="0">
                  <c:v>0.25</c:v>
                </c:pt>
                <c:pt idx="1">
                  <c:v>0.251</c:v>
                </c:pt>
                <c:pt idx="2">
                  <c:v>0.252</c:v>
                </c:pt>
                <c:pt idx="3">
                  <c:v>0.253</c:v>
                </c:pt>
                <c:pt idx="4">
                  <c:v>0.254</c:v>
                </c:pt>
                <c:pt idx="5">
                  <c:v>0.255</c:v>
                </c:pt>
                <c:pt idx="6">
                  <c:v>0.25600000000000001</c:v>
                </c:pt>
                <c:pt idx="7">
                  <c:v>0.25700000000000001</c:v>
                </c:pt>
                <c:pt idx="8">
                  <c:v>0.25800000000000001</c:v>
                </c:pt>
                <c:pt idx="9">
                  <c:v>0.25900000000000001</c:v>
                </c:pt>
                <c:pt idx="10">
                  <c:v>0.26</c:v>
                </c:pt>
              </c:numCache>
            </c:numRef>
          </c:cat>
          <c:val>
            <c:numRef>
              <c:f>ConvBond!$I$7:$I$17</c:f>
              <c:numCache>
                <c:formatCode>0.00%</c:formatCode>
                <c:ptCount val="11"/>
                <c:pt idx="0">
                  <c:v>2.3849050149416576E-2</c:v>
                </c:pt>
                <c:pt idx="1">
                  <c:v>2.3730287146921835E-2</c:v>
                </c:pt>
                <c:pt idx="2">
                  <c:v>2.3611273686514146E-2</c:v>
                </c:pt>
                <c:pt idx="3">
                  <c:v>2.3492169159392888E-2</c:v>
                </c:pt>
                <c:pt idx="4">
                  <c:v>2.337302013504464E-2</c:v>
                </c:pt>
                <c:pt idx="5">
                  <c:v>2.3253873386796825E-2</c:v>
                </c:pt>
                <c:pt idx="6">
                  <c:v>2.3133590916664042E-2</c:v>
                </c:pt>
                <c:pt idx="7">
                  <c:v>2.3013235185102874E-2</c:v>
                </c:pt>
                <c:pt idx="8">
                  <c:v>2.2891579268182454E-2</c:v>
                </c:pt>
                <c:pt idx="9">
                  <c:v>2.2768454876268628E-2</c:v>
                </c:pt>
                <c:pt idx="10">
                  <c:v>2.2645433876235983E-2</c:v>
                </c:pt>
              </c:numCache>
            </c:numRef>
          </c:val>
        </c:ser>
        <c:ser>
          <c:idx val="2"/>
          <c:order val="2"/>
          <c:tx>
            <c:strRef>
              <c:f>ConvBond!$J$6</c:f>
              <c:strCache>
                <c:ptCount val="1"/>
                <c:pt idx="0">
                  <c:v>34.50%</c:v>
                </c:pt>
              </c:strCache>
            </c:strRef>
          </c:tx>
          <c:cat>
            <c:numRef>
              <c:f>ConvBond!$G$7:$G$17</c:f>
              <c:numCache>
                <c:formatCode>0.00%</c:formatCode>
                <c:ptCount val="11"/>
                <c:pt idx="0">
                  <c:v>0.25</c:v>
                </c:pt>
                <c:pt idx="1">
                  <c:v>0.251</c:v>
                </c:pt>
                <c:pt idx="2">
                  <c:v>0.252</c:v>
                </c:pt>
                <c:pt idx="3">
                  <c:v>0.253</c:v>
                </c:pt>
                <c:pt idx="4">
                  <c:v>0.254</c:v>
                </c:pt>
                <c:pt idx="5">
                  <c:v>0.255</c:v>
                </c:pt>
                <c:pt idx="6">
                  <c:v>0.25600000000000001</c:v>
                </c:pt>
                <c:pt idx="7">
                  <c:v>0.25700000000000001</c:v>
                </c:pt>
                <c:pt idx="8">
                  <c:v>0.25800000000000001</c:v>
                </c:pt>
                <c:pt idx="9">
                  <c:v>0.25900000000000001</c:v>
                </c:pt>
                <c:pt idx="10">
                  <c:v>0.26</c:v>
                </c:pt>
              </c:numCache>
            </c:numRef>
          </c:cat>
          <c:val>
            <c:numRef>
              <c:f>ConvBond!$J$7:$J$17</c:f>
              <c:numCache>
                <c:formatCode>0.00%</c:formatCode>
                <c:ptCount val="11"/>
                <c:pt idx="0">
                  <c:v>2.4308256639258168E-2</c:v>
                </c:pt>
                <c:pt idx="1">
                  <c:v>2.4190580819047264E-2</c:v>
                </c:pt>
                <c:pt idx="2">
                  <c:v>2.4072990670179376E-2</c:v>
                </c:pt>
                <c:pt idx="3">
                  <c:v>2.3955182179965361E-2</c:v>
                </c:pt>
                <c:pt idx="4">
                  <c:v>2.3837257127771072E-2</c:v>
                </c:pt>
                <c:pt idx="5">
                  <c:v>2.3719177758265715E-2</c:v>
                </c:pt>
                <c:pt idx="6">
                  <c:v>2.3601175607623374E-2</c:v>
                </c:pt>
                <c:pt idx="7">
                  <c:v>2.3483203987011786E-2</c:v>
                </c:pt>
                <c:pt idx="8">
                  <c:v>2.3364748974534777E-2</c:v>
                </c:pt>
                <c:pt idx="9">
                  <c:v>2.3246299605243353E-2</c:v>
                </c:pt>
                <c:pt idx="10">
                  <c:v>2.3127848769854086E-2</c:v>
                </c:pt>
              </c:numCache>
            </c:numRef>
          </c:val>
        </c:ser>
        <c:ser>
          <c:idx val="3"/>
          <c:order val="3"/>
          <c:tx>
            <c:strRef>
              <c:f>ConvBond!$K$6</c:f>
              <c:strCache>
                <c:ptCount val="1"/>
                <c:pt idx="0">
                  <c:v>35.50%</c:v>
                </c:pt>
              </c:strCache>
            </c:strRef>
          </c:tx>
          <c:cat>
            <c:numRef>
              <c:f>ConvBond!$G$7:$G$17</c:f>
              <c:numCache>
                <c:formatCode>0.00%</c:formatCode>
                <c:ptCount val="11"/>
                <c:pt idx="0">
                  <c:v>0.25</c:v>
                </c:pt>
                <c:pt idx="1">
                  <c:v>0.251</c:v>
                </c:pt>
                <c:pt idx="2">
                  <c:v>0.252</c:v>
                </c:pt>
                <c:pt idx="3">
                  <c:v>0.253</c:v>
                </c:pt>
                <c:pt idx="4">
                  <c:v>0.254</c:v>
                </c:pt>
                <c:pt idx="5">
                  <c:v>0.255</c:v>
                </c:pt>
                <c:pt idx="6">
                  <c:v>0.25600000000000001</c:v>
                </c:pt>
                <c:pt idx="7">
                  <c:v>0.25700000000000001</c:v>
                </c:pt>
                <c:pt idx="8">
                  <c:v>0.25800000000000001</c:v>
                </c:pt>
                <c:pt idx="9">
                  <c:v>0.25900000000000001</c:v>
                </c:pt>
                <c:pt idx="10">
                  <c:v>0.26</c:v>
                </c:pt>
              </c:numCache>
            </c:numRef>
          </c:cat>
          <c:val>
            <c:numRef>
              <c:f>ConvBond!$K$7:$K$17</c:f>
              <c:numCache>
                <c:formatCode>0.00%</c:formatCode>
                <c:ptCount val="11"/>
                <c:pt idx="0">
                  <c:v>2.4758670990706399E-2</c:v>
                </c:pt>
                <c:pt idx="1">
                  <c:v>2.4641413975953503E-2</c:v>
                </c:pt>
                <c:pt idx="2">
                  <c:v>2.4524192848797647E-2</c:v>
                </c:pt>
                <c:pt idx="3">
                  <c:v>2.4406987682830079E-2</c:v>
                </c:pt>
                <c:pt idx="4">
                  <c:v>2.4289835639838844E-2</c:v>
                </c:pt>
                <c:pt idx="5">
                  <c:v>2.4172765928042086E-2</c:v>
                </c:pt>
                <c:pt idx="6">
                  <c:v>2.405578857326373E-2</c:v>
                </c:pt>
                <c:pt idx="7">
                  <c:v>2.3938771200576765E-2</c:v>
                </c:pt>
                <c:pt idx="8">
                  <c:v>2.3821693929362828E-2</c:v>
                </c:pt>
                <c:pt idx="9">
                  <c:v>2.3704227013724408E-2</c:v>
                </c:pt>
                <c:pt idx="10">
                  <c:v>2.3586852251973826E-2</c:v>
                </c:pt>
              </c:numCache>
            </c:numRef>
          </c:val>
        </c:ser>
        <c:ser>
          <c:idx val="4"/>
          <c:order val="4"/>
          <c:tx>
            <c:strRef>
              <c:f>ConvBond!$L$6</c:f>
              <c:strCache>
                <c:ptCount val="1"/>
                <c:pt idx="0">
                  <c:v>36.50%</c:v>
                </c:pt>
              </c:strCache>
            </c:strRef>
          </c:tx>
          <c:cat>
            <c:numRef>
              <c:f>ConvBond!$G$7:$G$17</c:f>
              <c:numCache>
                <c:formatCode>0.00%</c:formatCode>
                <c:ptCount val="11"/>
                <c:pt idx="0">
                  <c:v>0.25</c:v>
                </c:pt>
                <c:pt idx="1">
                  <c:v>0.251</c:v>
                </c:pt>
                <c:pt idx="2">
                  <c:v>0.252</c:v>
                </c:pt>
                <c:pt idx="3">
                  <c:v>0.253</c:v>
                </c:pt>
                <c:pt idx="4">
                  <c:v>0.254</c:v>
                </c:pt>
                <c:pt idx="5">
                  <c:v>0.255</c:v>
                </c:pt>
                <c:pt idx="6">
                  <c:v>0.25600000000000001</c:v>
                </c:pt>
                <c:pt idx="7">
                  <c:v>0.25700000000000001</c:v>
                </c:pt>
                <c:pt idx="8">
                  <c:v>0.25800000000000001</c:v>
                </c:pt>
                <c:pt idx="9">
                  <c:v>0.25900000000000001</c:v>
                </c:pt>
                <c:pt idx="10">
                  <c:v>0.26</c:v>
                </c:pt>
              </c:numCache>
            </c:numRef>
          </c:cat>
          <c:val>
            <c:numRef>
              <c:f>ConvBond!$L$7:$L$17</c:f>
              <c:numCache>
                <c:formatCode>0.00%</c:formatCode>
                <c:ptCount val="11"/>
                <c:pt idx="0">
                  <c:v>2.5201605781637E-2</c:v>
                </c:pt>
                <c:pt idx="1">
                  <c:v>2.5084549904150766E-2</c:v>
                </c:pt>
                <c:pt idx="2">
                  <c:v>2.4967601959893337E-2</c:v>
                </c:pt>
                <c:pt idx="3">
                  <c:v>2.4850762533405457E-2</c:v>
                </c:pt>
                <c:pt idx="4">
                  <c:v>2.4734017715559851E-2</c:v>
                </c:pt>
                <c:pt idx="5">
                  <c:v>2.4617369561787401E-2</c:v>
                </c:pt>
                <c:pt idx="6">
                  <c:v>2.4500826741102457E-2</c:v>
                </c:pt>
                <c:pt idx="7">
                  <c:v>2.4384366742503594E-2</c:v>
                </c:pt>
                <c:pt idx="8">
                  <c:v>2.4267852720580522E-2</c:v>
                </c:pt>
                <c:pt idx="9">
                  <c:v>2.4151397788704426E-2</c:v>
                </c:pt>
                <c:pt idx="10">
                  <c:v>2.4035026968647833E-2</c:v>
                </c:pt>
              </c:numCache>
            </c:numRef>
          </c:val>
        </c:ser>
        <c:ser>
          <c:idx val="5"/>
          <c:order val="5"/>
          <c:tx>
            <c:strRef>
              <c:f>ConvBond!$M$6</c:f>
              <c:strCache>
                <c:ptCount val="1"/>
                <c:pt idx="0">
                  <c:v>37.50%</c:v>
                </c:pt>
              </c:strCache>
            </c:strRef>
          </c:tx>
          <c:cat>
            <c:numRef>
              <c:f>ConvBond!$G$7:$G$17</c:f>
              <c:numCache>
                <c:formatCode>0.00%</c:formatCode>
                <c:ptCount val="11"/>
                <c:pt idx="0">
                  <c:v>0.25</c:v>
                </c:pt>
                <c:pt idx="1">
                  <c:v>0.251</c:v>
                </c:pt>
                <c:pt idx="2">
                  <c:v>0.252</c:v>
                </c:pt>
                <c:pt idx="3">
                  <c:v>0.253</c:v>
                </c:pt>
                <c:pt idx="4">
                  <c:v>0.254</c:v>
                </c:pt>
                <c:pt idx="5">
                  <c:v>0.255</c:v>
                </c:pt>
                <c:pt idx="6">
                  <c:v>0.25600000000000001</c:v>
                </c:pt>
                <c:pt idx="7">
                  <c:v>0.25700000000000001</c:v>
                </c:pt>
                <c:pt idx="8">
                  <c:v>0.25800000000000001</c:v>
                </c:pt>
                <c:pt idx="9">
                  <c:v>0.25900000000000001</c:v>
                </c:pt>
                <c:pt idx="10">
                  <c:v>0.26</c:v>
                </c:pt>
              </c:numCache>
            </c:numRef>
          </c:cat>
          <c:val>
            <c:numRef>
              <c:f>ConvBond!$M$7:$M$17</c:f>
              <c:numCache>
                <c:formatCode>0.00%</c:formatCode>
                <c:ptCount val="11"/>
                <c:pt idx="0">
                  <c:v>2.5636674388265768E-2</c:v>
                </c:pt>
                <c:pt idx="1">
                  <c:v>2.5520419114412718E-2</c:v>
                </c:pt>
                <c:pt idx="2">
                  <c:v>2.5404137164169591E-2</c:v>
                </c:pt>
                <c:pt idx="3">
                  <c:v>2.5287614885864715E-2</c:v>
                </c:pt>
                <c:pt idx="4">
                  <c:v>2.5171104726729416E-2</c:v>
                </c:pt>
                <c:pt idx="5">
                  <c:v>2.5054689485532935E-2</c:v>
                </c:pt>
                <c:pt idx="6">
                  <c:v>2.4938350620648413E-2</c:v>
                </c:pt>
                <c:pt idx="7">
                  <c:v>2.4822120104697497E-2</c:v>
                </c:pt>
                <c:pt idx="8">
                  <c:v>2.4705984679153106E-2</c:v>
                </c:pt>
                <c:pt idx="9">
                  <c:v>2.4589943211062056E-2</c:v>
                </c:pt>
                <c:pt idx="10">
                  <c:v>2.447400663163396E-2</c:v>
                </c:pt>
              </c:numCache>
            </c:numRef>
          </c:val>
        </c:ser>
        <c:bandFmts/>
        <c:axId val="221871104"/>
        <c:axId val="221876992"/>
        <c:axId val="221880768"/>
      </c:surface3DChart>
      <c:catAx>
        <c:axId val="221871104"/>
        <c:scaling>
          <c:orientation val="minMax"/>
        </c:scaling>
        <c:delete val="0"/>
        <c:axPos val="b"/>
        <c:numFmt formatCode="0.00%" sourceLinked="1"/>
        <c:majorTickMark val="out"/>
        <c:minorTickMark val="none"/>
        <c:tickLblPos val="nextTo"/>
        <c:crossAx val="221876992"/>
        <c:crosses val="autoZero"/>
        <c:auto val="1"/>
        <c:lblAlgn val="ctr"/>
        <c:lblOffset val="100"/>
        <c:noMultiLvlLbl val="0"/>
      </c:catAx>
      <c:valAx>
        <c:axId val="221876992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21871104"/>
        <c:crosses val="autoZero"/>
        <c:crossBetween val="midCat"/>
      </c:valAx>
      <c:serAx>
        <c:axId val="221880768"/>
        <c:scaling>
          <c:orientation val="minMax"/>
        </c:scaling>
        <c:delete val="0"/>
        <c:axPos val="b"/>
        <c:majorTickMark val="out"/>
        <c:minorTickMark val="none"/>
        <c:tickLblPos val="nextTo"/>
        <c:crossAx val="221876992"/>
        <c:crosses val="autoZero"/>
      </c:serAx>
    </c:plotArea>
    <c:legend>
      <c:legendPos val="r"/>
      <c:layout>
        <c:manualLayout>
          <c:xMode val="edge"/>
          <c:yMode val="edge"/>
          <c:x val="0.42623914392264911"/>
          <c:y val="0.66985519334096333"/>
          <c:w val="0.3135673729679499"/>
          <c:h val="0.16918958297574205"/>
        </c:manualLayout>
      </c:layout>
      <c:overlay val="0"/>
      <c:txPr>
        <a:bodyPr/>
        <a:lstStyle/>
        <a:p>
          <a:pPr rtl="0">
            <a:defRPr/>
          </a:pPr>
          <a:endParaRPr lang="ru-RU"/>
        </a:p>
      </c:txPr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examples!$B$2</c:f>
          <c:strCache>
            <c:ptCount val="1"/>
            <c:pt idx="0">
              <c:v>Convertible bond price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5159951881014874"/>
          <c:y val="6.0648148148148145E-2"/>
          <c:w val="0.77459492563429566"/>
          <c:h val="0.8527234616506269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examples!$B$2</c:f>
              <c:strCache>
                <c:ptCount val="1"/>
                <c:pt idx="0">
                  <c:v>Convertible bond price</c:v>
                </c:pt>
              </c:strCache>
            </c:strRef>
          </c:tx>
          <c:xVal>
            <c:numRef>
              <c:f>examples!$A$3:$A$29</c:f>
              <c:numCache>
                <c:formatCode>0</c:formatCode>
                <c:ptCount val="27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  <c:pt idx="4">
                  <c:v>250</c:v>
                </c:pt>
                <c:pt idx="5">
                  <c:v>300</c:v>
                </c:pt>
                <c:pt idx="6">
                  <c:v>350</c:v>
                </c:pt>
                <c:pt idx="7">
                  <c:v>400</c:v>
                </c:pt>
                <c:pt idx="8">
                  <c:v>450</c:v>
                </c:pt>
                <c:pt idx="9">
                  <c:v>500</c:v>
                </c:pt>
                <c:pt idx="10">
                  <c:v>550</c:v>
                </c:pt>
                <c:pt idx="11">
                  <c:v>600</c:v>
                </c:pt>
                <c:pt idx="12">
                  <c:v>650</c:v>
                </c:pt>
                <c:pt idx="13">
                  <c:v>700</c:v>
                </c:pt>
                <c:pt idx="14">
                  <c:v>750</c:v>
                </c:pt>
                <c:pt idx="15">
                  <c:v>800</c:v>
                </c:pt>
                <c:pt idx="16">
                  <c:v>850</c:v>
                </c:pt>
                <c:pt idx="17">
                  <c:v>900</c:v>
                </c:pt>
                <c:pt idx="18">
                  <c:v>950</c:v>
                </c:pt>
                <c:pt idx="19">
                  <c:v>1000</c:v>
                </c:pt>
                <c:pt idx="20">
                  <c:v>1050</c:v>
                </c:pt>
                <c:pt idx="21">
                  <c:v>1100</c:v>
                </c:pt>
                <c:pt idx="22">
                  <c:v>1150</c:v>
                </c:pt>
                <c:pt idx="23">
                  <c:v>1200</c:v>
                </c:pt>
                <c:pt idx="24">
                  <c:v>1250</c:v>
                </c:pt>
                <c:pt idx="25">
                  <c:v>1300</c:v>
                </c:pt>
                <c:pt idx="26">
                  <c:v>1350</c:v>
                </c:pt>
              </c:numCache>
            </c:numRef>
          </c:xVal>
          <c:yVal>
            <c:numRef>
              <c:f>examples!$B$3:$B$29</c:f>
              <c:numCache>
                <c:formatCode>0.00%</c:formatCode>
                <c:ptCount val="27"/>
                <c:pt idx="0">
                  <c:v>1.0356500945084166</c:v>
                </c:pt>
                <c:pt idx="1">
                  <c:v>1.0327713840914932</c:v>
                </c:pt>
                <c:pt idx="2">
                  <c:v>1.0348715794936465</c:v>
                </c:pt>
                <c:pt idx="3">
                  <c:v>1.0357045867810886</c:v>
                </c:pt>
                <c:pt idx="4">
                  <c:v>1.0340588245811742</c:v>
                </c:pt>
                <c:pt idx="5">
                  <c:v>1.034332548552483</c:v>
                </c:pt>
                <c:pt idx="6">
                  <c:v>1.0343950026298165</c:v>
                </c:pt>
                <c:pt idx="7">
                  <c:v>1.034327405830465</c:v>
                </c:pt>
                <c:pt idx="8">
                  <c:v>1.0357154504795063</c:v>
                </c:pt>
                <c:pt idx="9">
                  <c:v>1.0354656553549608</c:v>
                </c:pt>
                <c:pt idx="10">
                  <c:v>1.0351608068390692</c:v>
                </c:pt>
                <c:pt idx="11">
                  <c:v>1.0348279024110483</c:v>
                </c:pt>
                <c:pt idx="12">
                  <c:v>1.0357593321310556</c:v>
                </c:pt>
                <c:pt idx="13">
                  <c:v>1.0353800424857973</c:v>
                </c:pt>
                <c:pt idx="14">
                  <c:v>1.0349782251990125</c:v>
                </c:pt>
                <c:pt idx="15">
                  <c:v>1.0357275551073384</c:v>
                </c:pt>
                <c:pt idx="16">
                  <c:v>1.0353011047624612</c:v>
                </c:pt>
                <c:pt idx="17">
                  <c:v>1.0348688820571685</c:v>
                </c:pt>
                <c:pt idx="18">
                  <c:v>1.0355160280659321</c:v>
                </c:pt>
                <c:pt idx="19">
                  <c:v>1.0350717221177073</c:v>
                </c:pt>
                <c:pt idx="20">
                  <c:v>1.0356429980959772</c:v>
                </c:pt>
                <c:pt idx="21">
                  <c:v>1.0351894880347698</c:v>
                </c:pt>
                <c:pt idx="22">
                  <c:v>1.0357107439943491</c:v>
                </c:pt>
                <c:pt idx="23">
                  <c:v>1.0352567932466155</c:v>
                </c:pt>
                <c:pt idx="24">
                  <c:v>1.0357308484759293</c:v>
                </c:pt>
                <c:pt idx="25">
                  <c:v>1.0352722748052345</c:v>
                </c:pt>
                <c:pt idx="26">
                  <c:v>1.0357128908527566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448640"/>
        <c:axId val="220450816"/>
      </c:scatterChart>
      <c:valAx>
        <c:axId val="220448640"/>
        <c:scaling>
          <c:orientation val="minMax"/>
        </c:scaling>
        <c:delete val="0"/>
        <c:axPos val="b"/>
        <c:title>
          <c:tx>
            <c:strRef>
              <c:f>examples!$A$2</c:f>
              <c:strCache>
                <c:ptCount val="1"/>
                <c:pt idx="0">
                  <c:v>Nb of steps</c:v>
                </c:pt>
              </c:strCache>
            </c:strRef>
          </c:tx>
          <c:overlay val="0"/>
        </c:title>
        <c:numFmt formatCode="0" sourceLinked="1"/>
        <c:majorTickMark val="out"/>
        <c:minorTickMark val="none"/>
        <c:tickLblPos val="nextTo"/>
        <c:crossAx val="220450816"/>
        <c:crosses val="autoZero"/>
        <c:crossBetween val="midCat"/>
      </c:valAx>
      <c:valAx>
        <c:axId val="220450816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204486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20152777777777778"/>
          <c:y val="0.84267752989209677"/>
          <c:w val="0.46274999999999999"/>
          <c:h val="7.0029892096821228E-2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>
          <a:latin typeface="Arial" pitchFamily="34" charset="0"/>
          <a:cs typeface="Arial" pitchFamily="34" charset="0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1377777777777777"/>
          <c:y val="6.944444444444444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111351706036745"/>
          <c:y val="3.2766477107028277E-2"/>
          <c:w val="0.78041929133858268"/>
          <c:h val="0.8512536453776611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examples!$B$33</c:f>
              <c:strCache>
                <c:ptCount val="1"/>
                <c:pt idx="0">
                  <c:v>Convertible bond price</c:v>
                </c:pt>
              </c:strCache>
            </c:strRef>
          </c:tx>
          <c:xVal>
            <c:numRef>
              <c:f>examples!$A$34:$A$43</c:f>
              <c:numCache>
                <c:formatCode>0.00%</c:formatCode>
                <c:ptCount val="10"/>
                <c:pt idx="0">
                  <c:v>5.0000000000000001E-3</c:v>
                </c:pt>
                <c:pt idx="1">
                  <c:v>7.4999999999999997E-3</c:v>
                </c:pt>
                <c:pt idx="2">
                  <c:v>0.01</c:v>
                </c:pt>
                <c:pt idx="3">
                  <c:v>1.2500000000000001E-2</c:v>
                </c:pt>
                <c:pt idx="4">
                  <c:v>1.4999999999999999E-2</c:v>
                </c:pt>
                <c:pt idx="5">
                  <c:v>1.7500000000000002E-2</c:v>
                </c:pt>
                <c:pt idx="6">
                  <c:v>0.02</c:v>
                </c:pt>
                <c:pt idx="7">
                  <c:v>2.2499999999999999E-2</c:v>
                </c:pt>
                <c:pt idx="8">
                  <c:v>2.5000000000000001E-2</c:v>
                </c:pt>
                <c:pt idx="9">
                  <c:v>2.75E-2</c:v>
                </c:pt>
              </c:numCache>
            </c:numRef>
          </c:xVal>
          <c:yVal>
            <c:numRef>
              <c:f>examples!$B$34:$B$43</c:f>
              <c:numCache>
                <c:formatCode>0.00%</c:formatCode>
                <c:ptCount val="10"/>
                <c:pt idx="0">
                  <c:v>1.0546464262736643</c:v>
                </c:pt>
                <c:pt idx="1">
                  <c:v>1.0515834786820579</c:v>
                </c:pt>
                <c:pt idx="2">
                  <c:v>1.0486351002590943</c:v>
                </c:pt>
                <c:pt idx="3">
                  <c:v>1.043402509627203</c:v>
                </c:pt>
                <c:pt idx="4">
                  <c:v>1.0408133668469266</c:v>
                </c:pt>
                <c:pt idx="5">
                  <c:v>1.0407750302008538</c:v>
                </c:pt>
                <c:pt idx="6">
                  <c:v>1.0407365075942603</c:v>
                </c:pt>
                <c:pt idx="7">
                  <c:v>1.0406978097744632</c:v>
                </c:pt>
                <c:pt idx="8">
                  <c:v>1.0406589547524141</c:v>
                </c:pt>
                <c:pt idx="9">
                  <c:v>1.0406199365404198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483584"/>
        <c:axId val="220485120"/>
      </c:scatterChart>
      <c:valAx>
        <c:axId val="220483584"/>
        <c:scaling>
          <c:orientation val="minMax"/>
        </c:scaling>
        <c:delete val="0"/>
        <c:axPos val="b"/>
        <c:numFmt formatCode="0.00%" sourceLinked="1"/>
        <c:majorTickMark val="out"/>
        <c:minorTickMark val="none"/>
        <c:tickLblPos val="nextTo"/>
        <c:crossAx val="220485120"/>
        <c:crosses val="autoZero"/>
        <c:crossBetween val="midCat"/>
      </c:valAx>
      <c:valAx>
        <c:axId val="220485120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204835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887314085739285"/>
          <c:y val="0.80762066200058324"/>
          <c:w val="0.34112685914260715"/>
          <c:h val="8.3717191601049873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578307</xdr:colOff>
      <xdr:row>20</xdr:row>
      <xdr:rowOff>170400</xdr:rowOff>
    </xdr:from>
    <xdr:to>
      <xdr:col>18</xdr:col>
      <xdr:colOff>571501</xdr:colOff>
      <xdr:row>41</xdr:row>
      <xdr:rowOff>184007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574903</xdr:colOff>
      <xdr:row>74</xdr:row>
      <xdr:rowOff>-1</xdr:rowOff>
    </xdr:from>
    <xdr:to>
      <xdr:col>22</xdr:col>
      <xdr:colOff>0</xdr:colOff>
      <xdr:row>99</xdr:row>
      <xdr:rowOff>23812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45774</xdr:colOff>
      <xdr:row>120</xdr:row>
      <xdr:rowOff>86591</xdr:rowOff>
    </xdr:from>
    <xdr:to>
      <xdr:col>17</xdr:col>
      <xdr:colOff>1212274</xdr:colOff>
      <xdr:row>137</xdr:row>
      <xdr:rowOff>40822</xdr:rowOff>
    </xdr:to>
    <xdr:graphicFrame macro="">
      <xdr:nvGraphicFramePr>
        <xdr:cNvPr id="7" name="Диаграмма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612320</xdr:colOff>
      <xdr:row>159</xdr:row>
      <xdr:rowOff>13607</xdr:rowOff>
    </xdr:from>
    <xdr:to>
      <xdr:col>17</xdr:col>
      <xdr:colOff>1170214</xdr:colOff>
      <xdr:row>176</xdr:row>
      <xdr:rowOff>40822</xdr:rowOff>
    </xdr:to>
    <xdr:graphicFrame macro="">
      <xdr:nvGraphicFramePr>
        <xdr:cNvPr id="5" name="Диаграмма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95250</xdr:colOff>
      <xdr:row>17</xdr:row>
      <xdr:rowOff>97971</xdr:rowOff>
    </xdr:from>
    <xdr:to>
      <xdr:col>13</xdr:col>
      <xdr:colOff>544286</xdr:colOff>
      <xdr:row>41</xdr:row>
      <xdr:rowOff>40821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257736</xdr:colOff>
      <xdr:row>1</xdr:row>
      <xdr:rowOff>163605</xdr:rowOff>
    </xdr:from>
    <xdr:to>
      <xdr:col>9</xdr:col>
      <xdr:colOff>0</xdr:colOff>
      <xdr:row>16</xdr:row>
      <xdr:rowOff>26893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313765</xdr:colOff>
      <xdr:row>32</xdr:row>
      <xdr:rowOff>107577</xdr:rowOff>
    </xdr:from>
    <xdr:to>
      <xdr:col>9</xdr:col>
      <xdr:colOff>0</xdr:colOff>
      <xdr:row>46</xdr:row>
      <xdr:rowOff>172571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Z263"/>
  <sheetViews>
    <sheetView tabSelected="1" topLeftCell="H136" zoomScale="70" zoomScaleNormal="70" workbookViewId="0">
      <selection activeCell="T141" sqref="T141"/>
    </sheetView>
  </sheetViews>
  <sheetFormatPr defaultRowHeight="15" x14ac:dyDescent="0.25"/>
  <cols>
    <col min="1" max="1" width="54.5703125" bestFit="1" customWidth="1"/>
    <col min="2" max="2" width="17.140625" bestFit="1" customWidth="1"/>
    <col min="3" max="3" width="13.5703125" bestFit="1" customWidth="1"/>
    <col min="4" max="4" width="9.7109375" customWidth="1"/>
    <col min="5" max="5" width="9.7109375" style="25" customWidth="1"/>
    <col min="6" max="6" width="9.28515625" customWidth="1"/>
    <col min="7" max="7" width="10.28515625" style="25" bestFit="1" customWidth="1"/>
    <col min="8" max="12" width="9.28515625" style="25" customWidth="1"/>
    <col min="13" max="13" width="10.28515625" style="25" bestFit="1" customWidth="1"/>
    <col min="14" max="15" width="9.7109375" style="25" customWidth="1"/>
    <col min="16" max="16" width="32" style="25" bestFit="1" customWidth="1"/>
    <col min="17" max="17" width="38.85546875" style="25" bestFit="1" customWidth="1"/>
    <col min="18" max="18" width="19" style="25" customWidth="1"/>
    <col min="19" max="23" width="14.85546875" style="25" customWidth="1"/>
    <col min="24" max="16384" width="9.140625" style="25"/>
  </cols>
  <sheetData>
    <row r="1" spans="1:23" customFormat="1" ht="15" customHeight="1" thickBot="1" x14ac:dyDescent="0.3">
      <c r="A1" s="79" t="s">
        <v>53</v>
      </c>
      <c r="B1" s="80"/>
      <c r="C1" s="80"/>
      <c r="D1" s="80"/>
      <c r="E1" s="65"/>
      <c r="F1" s="66"/>
      <c r="G1" s="66"/>
      <c r="H1" s="66"/>
      <c r="I1" s="66"/>
      <c r="J1" s="66"/>
      <c r="K1" s="66"/>
      <c r="L1" s="66"/>
      <c r="M1" s="66"/>
      <c r="N1" s="67"/>
      <c r="O1" s="81"/>
      <c r="P1" s="81"/>
      <c r="Q1" s="81"/>
      <c r="R1" s="81"/>
      <c r="S1" s="81"/>
      <c r="T1" s="81"/>
      <c r="U1" s="81"/>
      <c r="V1" s="94"/>
      <c r="W1" s="95"/>
    </row>
    <row r="2" spans="1:23" customFormat="1" ht="15" customHeight="1" thickBot="1" x14ac:dyDescent="0.4">
      <c r="A2" s="117" t="s">
        <v>17</v>
      </c>
      <c r="B2" s="118"/>
      <c r="C2" s="82"/>
      <c r="D2" s="82"/>
      <c r="E2" s="68"/>
      <c r="F2" s="117" t="s">
        <v>16</v>
      </c>
      <c r="G2" s="126"/>
      <c r="H2" s="126"/>
      <c r="I2" s="126"/>
      <c r="J2" s="126"/>
      <c r="K2" s="126"/>
      <c r="L2" s="126"/>
      <c r="M2" s="118"/>
      <c r="N2" s="69"/>
      <c r="O2" s="83"/>
      <c r="P2" s="110" t="str">
        <f>"Example #1. coupon sensitivity to dividend protection. Dividends ~"&amp;AVERAGE($C$35:$C$53)*100&amp;"%"</f>
        <v>Example #1. coupon sensitivity to dividend protection. Dividends ~2.5%</v>
      </c>
      <c r="Q2" s="111"/>
      <c r="R2" s="111"/>
      <c r="S2" s="112"/>
      <c r="T2" s="112"/>
      <c r="U2" s="112"/>
      <c r="V2" s="113"/>
      <c r="W2" s="86"/>
    </row>
    <row r="3" spans="1:23" customFormat="1" ht="15" customHeight="1" thickBot="1" x14ac:dyDescent="0.3">
      <c r="A3" s="119"/>
      <c r="B3" s="120"/>
      <c r="C3" s="82"/>
      <c r="D3" s="82"/>
      <c r="E3" s="68"/>
      <c r="F3" s="127"/>
      <c r="G3" s="128"/>
      <c r="H3" s="128"/>
      <c r="I3" s="128"/>
      <c r="J3" s="128"/>
      <c r="K3" s="128"/>
      <c r="L3" s="128"/>
      <c r="M3" s="129"/>
      <c r="N3" s="69"/>
      <c r="O3" s="83"/>
      <c r="P3" s="63" t="s">
        <v>54</v>
      </c>
      <c r="Q3" s="64" t="s">
        <v>69</v>
      </c>
      <c r="R3" s="83"/>
      <c r="S3" s="83"/>
      <c r="T3" s="83"/>
      <c r="U3" s="83"/>
      <c r="V3" s="55"/>
      <c r="W3" s="86"/>
    </row>
    <row r="4" spans="1:23" customFormat="1" ht="15" customHeight="1" thickBot="1" x14ac:dyDescent="0.3">
      <c r="A4" s="9" t="s">
        <v>0</v>
      </c>
      <c r="B4" s="12">
        <v>10.7</v>
      </c>
      <c r="C4" s="82"/>
      <c r="D4" s="82"/>
      <c r="E4" s="68"/>
      <c r="F4" s="108"/>
      <c r="G4" s="107">
        <v>1E-3</v>
      </c>
      <c r="H4" s="107">
        <v>0.01</v>
      </c>
      <c r="I4" s="100"/>
      <c r="J4" s="130" t="s">
        <v>23</v>
      </c>
      <c r="K4" s="131"/>
      <c r="L4" s="132"/>
      <c r="M4" s="50">
        <f>B26</f>
        <v>20</v>
      </c>
      <c r="N4" s="69"/>
      <c r="O4" s="83"/>
      <c r="P4" s="57">
        <v>5.0000000000000001E-3</v>
      </c>
      <c r="Q4" s="58">
        <f ca="1">_xll.CBcoupon($B$4,$B$5,$B$6,$B$7,$B$8,$B$10,P4,$B$35:$C$39,$B$13,$B$14,$B$15,$B$16,$B$17,$B$18,$B$19:$B$25,$B$26)</f>
        <v>1.8764400130706987E-2</v>
      </c>
      <c r="R4" s="83"/>
      <c r="S4" s="83"/>
      <c r="T4" s="83"/>
      <c r="U4" s="83"/>
      <c r="V4" s="55"/>
      <c r="W4" s="86"/>
    </row>
    <row r="5" spans="1:23" customFormat="1" ht="15" customHeight="1" x14ac:dyDescent="0.25">
      <c r="A5" s="10" t="s">
        <v>12</v>
      </c>
      <c r="B5" s="13">
        <v>0.25</v>
      </c>
      <c r="C5" s="82"/>
      <c r="D5" s="82"/>
      <c r="E5" s="68"/>
      <c r="F5" s="121" t="s">
        <v>11</v>
      </c>
      <c r="G5" s="122"/>
      <c r="H5" s="6">
        <f t="shared" ref="H5:M5" si="0">$B$17/((1+H$6)*$B$4)</f>
        <v>7.0534297302063136</v>
      </c>
      <c r="I5" s="6">
        <f t="shared" si="0"/>
        <v>7.0005950505792995</v>
      </c>
      <c r="J5" s="7">
        <f t="shared" si="0"/>
        <v>6.948546016745996</v>
      </c>
      <c r="K5" s="7">
        <f t="shared" si="0"/>
        <v>6.8972652343345873</v>
      </c>
      <c r="L5" s="7">
        <f t="shared" si="0"/>
        <v>6.8467358186984359</v>
      </c>
      <c r="M5" s="8">
        <f t="shared" si="0"/>
        <v>6.7969413763806292</v>
      </c>
      <c r="N5" s="69"/>
      <c r="O5" s="83"/>
      <c r="P5" s="57">
        <v>7.4999999999999997E-3</v>
      </c>
      <c r="Q5" s="58">
        <f ca="1">_xll.CBcoupon($B$4,$B$5,$B$6,$B$7,$B$8,$B$10,P5,$B$35:$C$39,$B$13,$B$14,$B$15,$B$16,$B$17,$B$18,$B$19:$B$25,$B$26)</f>
        <v>2.1427765392336071E-2</v>
      </c>
      <c r="R5" s="83"/>
      <c r="S5" s="83"/>
      <c r="T5" s="83"/>
      <c r="U5" s="83"/>
      <c r="V5" s="55"/>
      <c r="W5" s="86"/>
    </row>
    <row r="6" spans="1:23" customFormat="1" ht="15" customHeight="1" thickBot="1" x14ac:dyDescent="0.3">
      <c r="A6" s="10" t="s">
        <v>3</v>
      </c>
      <c r="B6" s="13">
        <v>1.7399999999999999E-2</v>
      </c>
      <c r="C6" s="82"/>
      <c r="D6" s="82"/>
      <c r="E6" s="68"/>
      <c r="F6" s="109" t="s">
        <v>14</v>
      </c>
      <c r="G6" s="99"/>
      <c r="H6" s="5">
        <f>B12</f>
        <v>0.32500000000000001</v>
      </c>
      <c r="I6" s="5">
        <f>H6+$H$4</f>
        <v>0.33500000000000002</v>
      </c>
      <c r="J6" s="5">
        <f t="shared" ref="J6:M6" si="1">I6+$H$4</f>
        <v>0.34500000000000003</v>
      </c>
      <c r="K6" s="5">
        <f t="shared" si="1"/>
        <v>0.35500000000000004</v>
      </c>
      <c r="L6" s="5">
        <f t="shared" si="1"/>
        <v>0.36500000000000005</v>
      </c>
      <c r="M6" s="5">
        <f t="shared" si="1"/>
        <v>0.37500000000000006</v>
      </c>
      <c r="N6" s="69"/>
      <c r="O6" s="83"/>
      <c r="P6" s="57">
        <v>0.01</v>
      </c>
      <c r="Q6" s="58">
        <f ca="1">_xll.CBcoupon($B$4,$B$5,$B$6,$B$7,$B$8,$B$10,P6,$B$35:$C$39,$B$13,$B$14,$B$15,$B$16,$B$17,$B$18,$B$19:$B$25,$B$26)</f>
        <v>2.2106563118122161E-2</v>
      </c>
      <c r="R6" s="83"/>
      <c r="S6" s="83"/>
      <c r="T6" s="83"/>
      <c r="U6" s="83"/>
      <c r="V6" s="55"/>
      <c r="W6" s="86"/>
    </row>
    <row r="7" spans="1:23" customFormat="1" ht="15" customHeight="1" x14ac:dyDescent="0.25">
      <c r="A7" s="10" t="s">
        <v>19</v>
      </c>
      <c r="B7" s="13">
        <v>3.0099999999999998E-2</v>
      </c>
      <c r="C7" s="82"/>
      <c r="D7" s="82"/>
      <c r="E7" s="68"/>
      <c r="F7" s="123" t="s">
        <v>13</v>
      </c>
      <c r="G7" s="3">
        <f>B5</f>
        <v>0.25</v>
      </c>
      <c r="H7" s="103">
        <f ca="1">_xll.CBcoupon($B$4,$G7,$B$6,$B$7,$B$8,$B$10,$B$11,$B$35:$C$39,H$5,$B$14,$B$15,$B$16,$B$17,$B$18,$B$19:$B$25,$M$4)</f>
        <v>2.3376338197630357E-2</v>
      </c>
      <c r="I7" s="103">
        <f ca="1">_xll.CBcoupon($B$4,$G7,$B$6,$B$7,$B$8,$B$10,$B$11,$B$35:$C$39,I$5,$B$14,$B$15,$B$16,$B$17,$B$18,$B$19:$B$25,$M$4)</f>
        <v>2.3849050149416576E-2</v>
      </c>
      <c r="J7" s="103">
        <f ca="1">_xll.CBcoupon($B$4,$G7,$B$6,$B$7,$B$8,$B$10,$B$11,$B$35:$C$39,J$5,$B$14,$B$15,$B$16,$B$17,$B$18,$B$19:$B$25,$M$4)</f>
        <v>2.4308256639258168E-2</v>
      </c>
      <c r="K7" s="103">
        <f ca="1">_xll.CBcoupon($B$4,$G7,$B$6,$B$7,$B$8,$B$10,$B$11,$B$35:$C$39,K$5,$B$14,$B$15,$B$16,$B$17,$B$18,$B$19:$B$25,$M$4)</f>
        <v>2.4758670990706399E-2</v>
      </c>
      <c r="L7" s="103">
        <f ca="1">_xll.CBcoupon($B$4,$G7,$B$6,$B$7,$B$8,$B$10,$B$11,$B$35:$C$39,L$5,$B$14,$B$15,$B$16,$B$17,$B$18,$B$19:$B$25,$M$4)</f>
        <v>2.5201605781637E-2</v>
      </c>
      <c r="M7" s="104">
        <f ca="1">_xll.CBcoupon($B$4,$G7,$B$6,$B$7,$B$8,$B$10,$B$11,$B$35:$C$39,M$5,$B$14,$B$15,$B$16,$B$17,$B$18,$B$19:$B$25,$M$4)</f>
        <v>2.5636674388265768E-2</v>
      </c>
      <c r="N7" s="69"/>
      <c r="O7" s="83"/>
      <c r="P7" s="57">
        <v>1.2500000000000001E-2</v>
      </c>
      <c r="Q7" s="58">
        <f ca="1">_xll.CBcoupon($B$4,$B$5,$B$6,$B$7,$B$8,$B$10,P7,$B$35:$C$39,$B$13,$B$14,$B$15,$B$16,$B$17,$B$18,$B$19:$B$25,$B$26)</f>
        <v>2.27568527859149E-2</v>
      </c>
      <c r="R7" s="83"/>
      <c r="S7" s="83"/>
      <c r="T7" s="83"/>
      <c r="U7" s="83"/>
      <c r="V7" s="55"/>
      <c r="W7" s="86"/>
    </row>
    <row r="8" spans="1:23" customFormat="1" ht="15" customHeight="1" x14ac:dyDescent="0.25">
      <c r="A8" s="10" t="s">
        <v>25</v>
      </c>
      <c r="B8" s="16">
        <v>1</v>
      </c>
      <c r="C8" s="84"/>
      <c r="D8" s="84"/>
      <c r="E8" s="68"/>
      <c r="F8" s="124"/>
      <c r="G8" s="4">
        <f>G7+$G$4</f>
        <v>0.251</v>
      </c>
      <c r="H8" s="2">
        <f ca="1">_xll.CBcoupon($B$4,$G8,$B$6,$B$7,$B$8,$B$10,$B$11,$B$35:$C$39,H$5,$B$14,$B$15,$B$16,$B$17,$B$18,$B$19:$B$25,$M$4)</f>
        <v>2.3255491235918736E-2</v>
      </c>
      <c r="I8" s="2">
        <f ca="1">_xll.CBcoupon($B$4,$G8,$B$6,$B$7,$B$8,$B$10,$B$11,$B$35:$C$39,I$5,$B$14,$B$15,$B$16,$B$17,$B$18,$B$19:$B$25,$M$4)</f>
        <v>2.3730287146921835E-2</v>
      </c>
      <c r="J8" s="2">
        <f ca="1">_xll.CBcoupon($B$4,$G8,$B$6,$B$7,$B$8,$B$10,$B$11,$B$35:$C$39,J$5,$B$14,$B$15,$B$16,$B$17,$B$18,$B$19:$B$25,$M$4)</f>
        <v>2.4190580819047264E-2</v>
      </c>
      <c r="K8" s="2">
        <f ca="1">_xll.CBcoupon($B$4,$G8,$B$6,$B$7,$B$8,$B$10,$B$11,$B$35:$C$39,K$5,$B$14,$B$15,$B$16,$B$17,$B$18,$B$19:$B$25,$M$4)</f>
        <v>2.4641413975953503E-2</v>
      </c>
      <c r="L8" s="2">
        <f ca="1">_xll.CBcoupon($B$4,$G8,$B$6,$B$7,$B$8,$B$10,$B$11,$B$35:$C$39,L$5,$B$14,$B$15,$B$16,$B$17,$B$18,$B$19:$B$25,$M$4)</f>
        <v>2.5084549904150766E-2</v>
      </c>
      <c r="M8" s="51">
        <f ca="1">_xll.CBcoupon($B$4,$G8,$B$6,$B$7,$B$8,$B$10,$B$11,$B$35:$C$39,M$5,$B$14,$B$15,$B$16,$B$17,$B$18,$B$19:$B$25,$M$4)</f>
        <v>2.5520419114412718E-2</v>
      </c>
      <c r="N8" s="69"/>
      <c r="O8" s="83"/>
      <c r="P8" s="57">
        <v>1.4999999999999999E-2</v>
      </c>
      <c r="Q8" s="58">
        <f ca="1">_xll.CBcoupon($B$4,$B$5,$B$6,$B$7,$B$8,$B$10,P8,$B$35:$C$39,$B$13,$B$14,$B$15,$B$16,$B$17,$B$18,$B$19:$B$25,$B$26)</f>
        <v>2.3376338197630357E-2</v>
      </c>
      <c r="R8" s="83"/>
      <c r="S8" s="83"/>
      <c r="T8" s="83"/>
      <c r="U8" s="83"/>
      <c r="V8" s="55"/>
      <c r="W8" s="86"/>
    </row>
    <row r="9" spans="1:23" customFormat="1" ht="15" customHeight="1" x14ac:dyDescent="0.25">
      <c r="A9" s="21" t="s">
        <v>10</v>
      </c>
      <c r="B9" s="22">
        <v>2.3599999999999999E-2</v>
      </c>
      <c r="C9" s="82"/>
      <c r="D9" s="82"/>
      <c r="E9" s="68"/>
      <c r="F9" s="124"/>
      <c r="G9" s="4">
        <f t="shared" ref="G9:G17" si="2">G8+0.001</f>
        <v>0.252</v>
      </c>
      <c r="H9" s="2">
        <f ca="1">_xll.CBcoupon($B$4,$G9,$B$6,$B$7,$B$8,$B$10,$B$11,$B$35:$C$39,H$5,$B$14,$B$15,$B$16,$B$17,$B$18,$B$19:$B$25,$M$4)</f>
        <v>2.3133919706396559E-2</v>
      </c>
      <c r="I9" s="2">
        <f ca="1">_xll.CBcoupon($B$4,$G9,$B$6,$B$7,$B$8,$B$10,$B$11,$B$35:$C$39,I$5,$B$14,$B$15,$B$16,$B$17,$B$18,$B$19:$B$25,$M$4)</f>
        <v>2.3611273686514146E-2</v>
      </c>
      <c r="J9" s="2">
        <f ca="1">_xll.CBcoupon($B$4,$G9,$B$6,$B$7,$B$8,$B$10,$B$11,$B$35:$C$39,J$5,$B$14,$B$15,$B$16,$B$17,$B$18,$B$19:$B$25,$M$4)</f>
        <v>2.4072990670179376E-2</v>
      </c>
      <c r="K9" s="2">
        <f ca="1">_xll.CBcoupon($B$4,$G9,$B$6,$B$7,$B$8,$B$10,$B$11,$B$35:$C$39,K$5,$B$14,$B$15,$B$16,$B$17,$B$18,$B$19:$B$25,$M$4)</f>
        <v>2.4524192848797647E-2</v>
      </c>
      <c r="L9" s="2">
        <f ca="1">_xll.CBcoupon($B$4,$G9,$B$6,$B$7,$B$8,$B$10,$B$11,$B$35:$C$39,L$5,$B$14,$B$15,$B$16,$B$17,$B$18,$B$19:$B$25,$M$4)</f>
        <v>2.4967601959893337E-2</v>
      </c>
      <c r="M9" s="51">
        <f ca="1">_xll.CBcoupon($B$4,$G9,$B$6,$B$7,$B$8,$B$10,$B$11,$B$35:$C$39,M$5,$B$14,$B$15,$B$16,$B$17,$B$18,$B$19:$B$25,$M$4)</f>
        <v>2.5404137164169591E-2</v>
      </c>
      <c r="N9" s="69"/>
      <c r="O9" s="83"/>
      <c r="P9" s="57">
        <v>1.7500000000000002E-2</v>
      </c>
      <c r="Q9" s="58">
        <f ca="1">_xll.CBcoupon($B$4,$B$5,$B$6,$B$7,$B$8,$B$10,P9,$B$35:$C$39,$B$13,$B$14,$B$15,$B$16,$B$17,$B$18,$B$19:$B$25,$B$26)</f>
        <v>2.3967997586529413E-2</v>
      </c>
      <c r="R9" s="83"/>
      <c r="S9" s="83"/>
      <c r="T9" s="83"/>
      <c r="U9" s="83"/>
      <c r="V9" s="55"/>
      <c r="W9" s="86"/>
    </row>
    <row r="10" spans="1:23" customFormat="1" ht="15" customHeight="1" x14ac:dyDescent="0.25">
      <c r="A10" s="10" t="s">
        <v>4</v>
      </c>
      <c r="B10" s="16">
        <v>1</v>
      </c>
      <c r="C10" s="82"/>
      <c r="D10" s="82"/>
      <c r="E10" s="68"/>
      <c r="F10" s="124"/>
      <c r="G10" s="4">
        <f t="shared" si="2"/>
        <v>0.253</v>
      </c>
      <c r="H10" s="2">
        <f ca="1">_xll.CBcoupon($B$4,$G10,$B$6,$B$7,$B$8,$B$10,$B$11,$B$35:$C$39,H$5,$B$14,$B$15,$B$16,$B$17,$B$18,$B$19:$B$25,$M$4)</f>
        <v>2.3010490805900903E-2</v>
      </c>
      <c r="I10" s="2">
        <f ca="1">_xll.CBcoupon($B$4,$G10,$B$6,$B$7,$B$8,$B$10,$B$11,$B$35:$C$39,I$5,$B$14,$B$15,$B$16,$B$17,$B$18,$B$19:$B$25,$M$4)</f>
        <v>2.3492169159392888E-2</v>
      </c>
      <c r="J10" s="2">
        <f ca="1">_xll.CBcoupon($B$4,$G10,$B$6,$B$7,$B$8,$B$10,$B$11,$B$35:$C$39,J$5,$B$14,$B$15,$B$16,$B$17,$B$18,$B$19:$B$25,$M$4)</f>
        <v>2.3955182179965361E-2</v>
      </c>
      <c r="K10" s="2">
        <f ca="1">_xll.CBcoupon($B$4,$G10,$B$6,$B$7,$B$8,$B$10,$B$11,$B$35:$C$39,K$5,$B$14,$B$15,$B$16,$B$17,$B$18,$B$19:$B$25,$M$4)</f>
        <v>2.4406987682830079E-2</v>
      </c>
      <c r="L10" s="2">
        <f ca="1">_xll.CBcoupon($B$4,$G10,$B$6,$B$7,$B$8,$B$10,$B$11,$B$35:$C$39,L$5,$B$14,$B$15,$B$16,$B$17,$B$18,$B$19:$B$25,$M$4)</f>
        <v>2.4850762533405457E-2</v>
      </c>
      <c r="M10" s="51">
        <f ca="1">_xll.CBcoupon($B$4,$G10,$B$6,$B$7,$B$8,$B$10,$B$11,$B$35:$C$39,M$5,$B$14,$B$15,$B$16,$B$17,$B$18,$B$19:$B$25,$M$4)</f>
        <v>2.5287614885864715E-2</v>
      </c>
      <c r="N10" s="69"/>
      <c r="O10" s="83"/>
      <c r="P10" s="57">
        <v>0.02</v>
      </c>
      <c r="Q10" s="58">
        <f ca="1">_xll.CBcoupon($B$4,$B$5,$B$6,$B$7,$B$8,$B$10,P10,$B$35:$C$39,$B$13,$B$14,$B$15,$B$16,$B$17,$B$18,$B$19:$B$25,$B$26)</f>
        <v>2.4546682716321974E-2</v>
      </c>
      <c r="R10" s="83"/>
      <c r="S10" s="83"/>
      <c r="T10" s="83"/>
      <c r="U10" s="83"/>
      <c r="V10" s="55"/>
      <c r="W10" s="86"/>
    </row>
    <row r="11" spans="1:23" customFormat="1" ht="15.75" customHeight="1" x14ac:dyDescent="0.25">
      <c r="A11" s="19" t="s">
        <v>22</v>
      </c>
      <c r="B11" s="4">
        <v>1.4999999999999999E-2</v>
      </c>
      <c r="C11" s="82"/>
      <c r="D11" s="82"/>
      <c r="E11" s="68"/>
      <c r="F11" s="124"/>
      <c r="G11" s="4">
        <f t="shared" si="2"/>
        <v>0.254</v>
      </c>
      <c r="H11" s="2">
        <f ca="1">_xll.CBcoupon($B$4,$G11,$B$6,$B$7,$B$8,$B$10,$B$11,$B$35:$C$39,H$5,$B$14,$B$15,$B$16,$B$17,$B$18,$B$19:$B$25,$M$4)</f>
        <v>2.2886773497683536E-2</v>
      </c>
      <c r="I11" s="2">
        <f ca="1">_xll.CBcoupon($B$4,$G11,$B$6,$B$7,$B$8,$B$10,$B$11,$B$35:$C$39,I$5,$B$14,$B$15,$B$16,$B$17,$B$18,$B$19:$B$25,$M$4)</f>
        <v>2.337302013504464E-2</v>
      </c>
      <c r="J11" s="2">
        <f ca="1">_xll.CBcoupon($B$4,$G11,$B$6,$B$7,$B$8,$B$10,$B$11,$B$35:$C$39,J$5,$B$14,$B$15,$B$16,$B$17,$B$18,$B$19:$B$25,$M$4)</f>
        <v>2.3837257127771072E-2</v>
      </c>
      <c r="K11" s="2">
        <f ca="1">_xll.CBcoupon($B$4,$G11,$B$6,$B$7,$B$8,$B$10,$B$11,$B$35:$C$39,K$5,$B$14,$B$15,$B$16,$B$17,$B$18,$B$19:$B$25,$M$4)</f>
        <v>2.4289835639838844E-2</v>
      </c>
      <c r="L11" s="2">
        <f ca="1">_xll.CBcoupon($B$4,$G11,$B$6,$B$7,$B$8,$B$10,$B$11,$B$35:$C$39,L$5,$B$14,$B$15,$B$16,$B$17,$B$18,$B$19:$B$25,$M$4)</f>
        <v>2.4734017715559851E-2</v>
      </c>
      <c r="M11" s="51">
        <f ca="1">_xll.CBcoupon($B$4,$G11,$B$6,$B$7,$B$8,$B$10,$B$11,$B$35:$C$39,M$5,$B$14,$B$15,$B$16,$B$17,$B$18,$B$19:$B$25,$M$4)</f>
        <v>2.5171104726729416E-2</v>
      </c>
      <c r="N11" s="69"/>
      <c r="O11" s="83"/>
      <c r="P11" s="57">
        <v>2.2499999999999999E-2</v>
      </c>
      <c r="Q11" s="58">
        <f ca="1">_xll.CBcoupon($B$4,$B$5,$B$6,$B$7,$B$8,$B$10,P11,$B$35:$C$39,$B$13,$B$14,$B$15,$B$16,$B$17,$B$18,$B$19:$B$25,$B$26)</f>
        <v>2.5109062081006005E-2</v>
      </c>
      <c r="R11" s="83"/>
      <c r="S11" s="83"/>
      <c r="T11" s="83"/>
      <c r="U11" s="83"/>
      <c r="V11" s="55"/>
      <c r="W11" s="86"/>
    </row>
    <row r="12" spans="1:23" customFormat="1" ht="15.75" x14ac:dyDescent="0.25">
      <c r="A12" s="10" t="s">
        <v>15</v>
      </c>
      <c r="B12" s="22">
        <v>0.32500000000000001</v>
      </c>
      <c r="C12" s="82"/>
      <c r="D12" s="82"/>
      <c r="E12" s="68"/>
      <c r="F12" s="124"/>
      <c r="G12" s="4">
        <f t="shared" si="2"/>
        <v>0.255</v>
      </c>
      <c r="H12" s="2">
        <f ca="1">_xll.CBcoupon($B$4,$G12,$B$6,$B$7,$B$8,$B$10,$B$11,$B$35:$C$39,H$5,$B$14,$B$15,$B$16,$B$17,$B$18,$B$19:$B$25,$M$4)</f>
        <v>2.2763013137926814E-2</v>
      </c>
      <c r="I12" s="2">
        <f ca="1">_xll.CBcoupon($B$4,$G12,$B$6,$B$7,$B$8,$B$10,$B$11,$B$35:$C$39,I$5,$B$14,$B$15,$B$16,$B$17,$B$18,$B$19:$B$25,$M$4)</f>
        <v>2.3253873386796825E-2</v>
      </c>
      <c r="J12" s="2">
        <f ca="1">_xll.CBcoupon($B$4,$G12,$B$6,$B$7,$B$8,$B$10,$B$11,$B$35:$C$39,J$5,$B$14,$B$15,$B$16,$B$17,$B$18,$B$19:$B$25,$M$4)</f>
        <v>2.3719177758265715E-2</v>
      </c>
      <c r="K12" s="2">
        <f ca="1">_xll.CBcoupon($B$4,$G12,$B$6,$B$7,$B$8,$B$10,$B$11,$B$35:$C$39,K$5,$B$14,$B$15,$B$16,$B$17,$B$18,$B$19:$B$25,$M$4)</f>
        <v>2.4172765928042086E-2</v>
      </c>
      <c r="L12" s="2">
        <f ca="1">_xll.CBcoupon($B$4,$G12,$B$6,$B$7,$B$8,$B$10,$B$11,$B$35:$C$39,L$5,$B$14,$B$15,$B$16,$B$17,$B$18,$B$19:$B$25,$M$4)</f>
        <v>2.4617369561787401E-2</v>
      </c>
      <c r="M12" s="51">
        <f ca="1">_xll.CBcoupon($B$4,$G12,$B$6,$B$7,$B$8,$B$10,$B$11,$B$35:$C$39,M$5,$B$14,$B$15,$B$16,$B$17,$B$18,$B$19:$B$25,$M$4)</f>
        <v>2.5054689485532935E-2</v>
      </c>
      <c r="N12" s="69"/>
      <c r="O12" s="83"/>
      <c r="P12" s="57">
        <v>2.5000000000000001E-2</v>
      </c>
      <c r="Q12" s="58">
        <f ca="1">_xll.CBcoupon($B$4,$B$5,$B$6,$B$7,$B$8,$B$10,P12,$B$35:$C$39,$B$13,$B$14,$B$15,$B$16,$B$17,$B$18,$B$19:$B$25,$B$26)</f>
        <v>2.565863869499194E-2</v>
      </c>
      <c r="R12" s="83"/>
      <c r="S12" s="83"/>
      <c r="T12" s="83"/>
      <c r="U12" s="83"/>
      <c r="V12" s="55"/>
      <c r="W12" s="86"/>
    </row>
    <row r="13" spans="1:23" customFormat="1" ht="15.75" x14ac:dyDescent="0.25">
      <c r="A13" s="10" t="s">
        <v>11</v>
      </c>
      <c r="B13" s="14">
        <f>B17/((1+B12)*B4)</f>
        <v>7.0534297302063136</v>
      </c>
      <c r="C13" s="82"/>
      <c r="D13" s="82"/>
      <c r="E13" s="68"/>
      <c r="F13" s="124"/>
      <c r="G13" s="4">
        <f t="shared" si="2"/>
        <v>0.25600000000000001</v>
      </c>
      <c r="H13" s="2">
        <f ca="1">_xll.CBcoupon($B$4,$G13,$B$6,$B$7,$B$8,$B$10,$B$11,$B$35:$C$39,H$5,$B$14,$B$15,$B$16,$B$17,$B$18,$B$19:$B$25,$M$4)</f>
        <v>2.2639366979797411E-2</v>
      </c>
      <c r="I13" s="2">
        <f ca="1">_xll.CBcoupon($B$4,$G13,$B$6,$B$7,$B$8,$B$10,$B$11,$B$35:$C$39,I$5,$B$14,$B$15,$B$16,$B$17,$B$18,$B$19:$B$25,$M$4)</f>
        <v>2.3133590916664042E-2</v>
      </c>
      <c r="J13" s="2">
        <f ca="1">_xll.CBcoupon($B$4,$G13,$B$6,$B$7,$B$8,$B$10,$B$11,$B$35:$C$39,J$5,$B$14,$B$15,$B$16,$B$17,$B$18,$B$19:$B$25,$M$4)</f>
        <v>2.3601175607623374E-2</v>
      </c>
      <c r="K13" s="2">
        <f ca="1">_xll.CBcoupon($B$4,$G13,$B$6,$B$7,$B$8,$B$10,$B$11,$B$35:$C$39,K$5,$B$14,$B$15,$B$16,$B$17,$B$18,$B$19:$B$25,$M$4)</f>
        <v>2.405578857326373E-2</v>
      </c>
      <c r="L13" s="2">
        <f ca="1">_xll.CBcoupon($B$4,$G13,$B$6,$B$7,$B$8,$B$10,$B$11,$B$35:$C$39,L$5,$B$14,$B$15,$B$16,$B$17,$B$18,$B$19:$B$25,$M$4)</f>
        <v>2.4500826741102457E-2</v>
      </c>
      <c r="M13" s="51">
        <f ca="1">_xll.CBcoupon($B$4,$G13,$B$6,$B$7,$B$8,$B$10,$B$11,$B$35:$C$39,M$5,$B$14,$B$15,$B$16,$B$17,$B$18,$B$19:$B$25,$M$4)</f>
        <v>2.4938350620648413E-2</v>
      </c>
      <c r="N13" s="69"/>
      <c r="O13" s="83"/>
      <c r="P13" s="57">
        <v>2.75E-2</v>
      </c>
      <c r="Q13" s="58">
        <f ca="1">_xll.CBcoupon($B$4,$B$5,$B$6,$B$7,$B$8,$B$10,P13,$B$35:$C$39,$B$13,$B$14,$B$15,$B$16,$B$17,$B$18,$B$19:$B$25,$B$26)</f>
        <v>2.565863869499194E-2</v>
      </c>
      <c r="R13" s="83"/>
      <c r="S13" s="83"/>
      <c r="T13" s="83"/>
      <c r="U13" s="83"/>
      <c r="V13" s="55"/>
      <c r="W13" s="86"/>
    </row>
    <row r="14" spans="1:23" customFormat="1" ht="15.75" x14ac:dyDescent="0.25">
      <c r="A14" s="10" t="s">
        <v>8</v>
      </c>
      <c r="B14" s="15">
        <v>0</v>
      </c>
      <c r="C14" s="82"/>
      <c r="D14" s="82"/>
      <c r="E14" s="68"/>
      <c r="F14" s="124"/>
      <c r="G14" s="4">
        <f t="shared" si="2"/>
        <v>0.25700000000000001</v>
      </c>
      <c r="H14" s="2">
        <f ca="1">_xll.CBcoupon($B$4,$G14,$B$6,$B$7,$B$8,$B$10,$B$11,$B$35:$C$39,H$5,$B$14,$B$15,$B$16,$B$17,$B$18,$B$19:$B$25,$M$4)</f>
        <v>2.2515780975925069E-2</v>
      </c>
      <c r="I14" s="2">
        <f ca="1">_xll.CBcoupon($B$4,$G14,$B$6,$B$7,$B$8,$B$10,$B$11,$B$35:$C$39,I$5,$B$14,$B$15,$B$16,$B$17,$B$18,$B$19:$B$25,$M$4)</f>
        <v>2.3013235185102874E-2</v>
      </c>
      <c r="J14" s="2">
        <f ca="1">_xll.CBcoupon($B$4,$G14,$B$6,$B$7,$B$8,$B$10,$B$11,$B$35:$C$39,J$5,$B$14,$B$15,$B$16,$B$17,$B$18,$B$19:$B$25,$M$4)</f>
        <v>2.3483203987011786E-2</v>
      </c>
      <c r="K14" s="2">
        <f ca="1">_xll.CBcoupon($B$4,$G14,$B$6,$B$7,$B$8,$B$10,$B$11,$B$35:$C$39,K$5,$B$14,$B$15,$B$16,$B$17,$B$18,$B$19:$B$25,$M$4)</f>
        <v>2.3938771200576765E-2</v>
      </c>
      <c r="L14" s="2">
        <f ca="1">_xll.CBcoupon($B$4,$G14,$B$6,$B$7,$B$8,$B$10,$B$11,$B$35:$C$39,L$5,$B$14,$B$15,$B$16,$B$17,$B$18,$B$19:$B$25,$M$4)</f>
        <v>2.4384366742503594E-2</v>
      </c>
      <c r="M14" s="51">
        <f ca="1">_xll.CBcoupon($B$4,$G14,$B$6,$B$7,$B$8,$B$10,$B$11,$B$35:$C$39,M$5,$B$14,$B$15,$B$16,$B$17,$B$18,$B$19:$B$25,$M$4)</f>
        <v>2.4822120104697497E-2</v>
      </c>
      <c r="N14" s="69"/>
      <c r="O14" s="83"/>
      <c r="P14" s="57">
        <v>0.03</v>
      </c>
      <c r="Q14" s="58">
        <f ca="1">_xll.CBcoupon($B$4,$B$5,$B$6,$B$7,$B$8,$B$10,P14,$B$35:$C$39,$B$13,$B$14,$B$15,$B$16,$B$17,$B$18,$B$19:$B$25,$B$26)</f>
        <v>2.565863869499194E-2</v>
      </c>
      <c r="R14" s="83"/>
      <c r="S14" s="83"/>
      <c r="T14" s="83"/>
      <c r="U14" s="83"/>
      <c r="V14" s="55"/>
      <c r="W14" s="86"/>
    </row>
    <row r="15" spans="1:23" customFormat="1" ht="15.75" x14ac:dyDescent="0.25">
      <c r="A15" s="11" t="s">
        <v>38</v>
      </c>
      <c r="B15" s="16">
        <v>1</v>
      </c>
      <c r="C15" s="82"/>
      <c r="D15" s="82"/>
      <c r="E15" s="68"/>
      <c r="F15" s="124"/>
      <c r="G15" s="4">
        <f t="shared" si="2"/>
        <v>0.25800000000000001</v>
      </c>
      <c r="H15" s="2">
        <f ca="1">_xll.CBcoupon($B$4,$G15,$B$6,$B$7,$B$8,$B$10,$B$11,$B$35:$C$39,H$5,$B$14,$B$15,$B$16,$B$17,$B$18,$B$19:$B$25,$M$4)</f>
        <v>2.2392284343495251E-2</v>
      </c>
      <c r="I15" s="2">
        <f ca="1">_xll.CBcoupon($B$4,$G15,$B$6,$B$7,$B$8,$B$10,$B$11,$B$35:$C$39,I$5,$B$14,$B$15,$B$16,$B$17,$B$18,$B$19:$B$25,$M$4)</f>
        <v>2.2891579268182454E-2</v>
      </c>
      <c r="J15" s="2">
        <f ca="1">_xll.CBcoupon($B$4,$G15,$B$6,$B$7,$B$8,$B$10,$B$11,$B$35:$C$39,J$5,$B$14,$B$15,$B$16,$B$17,$B$18,$B$19:$B$25,$M$4)</f>
        <v>2.3364748974534777E-2</v>
      </c>
      <c r="K15" s="2">
        <f ca="1">_xll.CBcoupon($B$4,$G15,$B$6,$B$7,$B$8,$B$10,$B$11,$B$35:$C$39,K$5,$B$14,$B$15,$B$16,$B$17,$B$18,$B$19:$B$25,$M$4)</f>
        <v>2.3821693929362828E-2</v>
      </c>
      <c r="L15" s="2">
        <f ca="1">_xll.CBcoupon($B$4,$G15,$B$6,$B$7,$B$8,$B$10,$B$11,$B$35:$C$39,L$5,$B$14,$B$15,$B$16,$B$17,$B$18,$B$19:$B$25,$M$4)</f>
        <v>2.4267852720580522E-2</v>
      </c>
      <c r="M15" s="51">
        <f ca="1">_xll.CBcoupon($B$4,$G15,$B$6,$B$7,$B$8,$B$10,$B$11,$B$35:$C$39,M$5,$B$14,$B$15,$B$16,$B$17,$B$18,$B$19:$B$25,$M$4)</f>
        <v>2.4705984679153106E-2</v>
      </c>
      <c r="N15" s="69"/>
      <c r="O15" s="83"/>
      <c r="P15" s="57">
        <v>3.2500000000000001E-2</v>
      </c>
      <c r="Q15" s="58">
        <f ca="1">_xll.CBcoupon($B$4,$B$5,$B$6,$B$7,$B$8,$B$10,P15,$B$35:$C$39,$B$13,$B$14,$B$15,$B$16,$B$17,$B$18,$B$19:$B$25,$B$26)</f>
        <v>2.565863869499194E-2</v>
      </c>
      <c r="R15" s="83"/>
      <c r="S15" s="83"/>
      <c r="T15" s="83"/>
      <c r="U15" s="83"/>
      <c r="V15" s="55"/>
      <c r="W15" s="86"/>
    </row>
    <row r="16" spans="1:23" customFormat="1" ht="15" customHeight="1" x14ac:dyDescent="0.25">
      <c r="A16" s="10" t="s">
        <v>1</v>
      </c>
      <c r="B16" s="15">
        <v>5</v>
      </c>
      <c r="C16" s="82"/>
      <c r="D16" s="82"/>
      <c r="E16" s="68"/>
      <c r="F16" s="124"/>
      <c r="G16" s="4">
        <f t="shared" si="2"/>
        <v>0.25900000000000001</v>
      </c>
      <c r="H16" s="2">
        <f ca="1">_xll.CBcoupon($B$4,$G16,$B$6,$B$7,$B$8,$B$10,$B$11,$B$35:$C$39,H$5,$B$14,$B$15,$B$16,$B$17,$B$18,$B$19:$B$25,$M$4)</f>
        <v>2.2268839357676137E-2</v>
      </c>
      <c r="I16" s="2">
        <f ca="1">_xll.CBcoupon($B$4,$G16,$B$6,$B$7,$B$8,$B$10,$B$11,$B$35:$C$39,I$5,$B$14,$B$15,$B$16,$B$17,$B$18,$B$19:$B$25,$M$4)</f>
        <v>2.2768454876268628E-2</v>
      </c>
      <c r="J16" s="2">
        <f ca="1">_xll.CBcoupon($B$4,$G16,$B$6,$B$7,$B$8,$B$10,$B$11,$B$35:$C$39,J$5,$B$14,$B$15,$B$16,$B$17,$B$18,$B$19:$B$25,$M$4)</f>
        <v>2.3246299605243353E-2</v>
      </c>
      <c r="K16" s="2">
        <f ca="1">_xll.CBcoupon($B$4,$G16,$B$6,$B$7,$B$8,$B$10,$B$11,$B$35:$C$39,K$5,$B$14,$B$15,$B$16,$B$17,$B$18,$B$19:$B$25,$M$4)</f>
        <v>2.3704227013724408E-2</v>
      </c>
      <c r="L16" s="2">
        <f ca="1">_xll.CBcoupon($B$4,$G16,$B$6,$B$7,$B$8,$B$10,$B$11,$B$35:$C$39,L$5,$B$14,$B$15,$B$16,$B$17,$B$18,$B$19:$B$25,$M$4)</f>
        <v>2.4151397788704426E-2</v>
      </c>
      <c r="M16" s="51">
        <f ca="1">_xll.CBcoupon($B$4,$G16,$B$6,$B$7,$B$8,$B$10,$B$11,$B$35:$C$39,M$5,$B$14,$B$15,$B$16,$B$17,$B$18,$B$19:$B$25,$M$4)</f>
        <v>2.4589943211062056E-2</v>
      </c>
      <c r="N16" s="69"/>
      <c r="O16" s="83"/>
      <c r="P16" s="57">
        <v>3.5000000000000003E-2</v>
      </c>
      <c r="Q16" s="58">
        <f ca="1">_xll.CBcoupon($B$4,$B$5,$B$6,$B$7,$B$8,$B$10,P16,$B$35:$C$39,$B$13,$B$14,$B$15,$B$16,$B$17,$B$18,$B$19:$B$25,$B$26)</f>
        <v>2.565863869499194E-2</v>
      </c>
      <c r="R16" s="83"/>
      <c r="S16" s="83"/>
      <c r="T16" s="83"/>
      <c r="U16" s="83"/>
      <c r="V16" s="55"/>
      <c r="W16" s="86"/>
    </row>
    <row r="17" spans="1:23" customFormat="1" ht="15.75" customHeight="1" thickBot="1" x14ac:dyDescent="0.3">
      <c r="A17" s="19" t="s">
        <v>2</v>
      </c>
      <c r="B17" s="20">
        <v>100</v>
      </c>
      <c r="C17" s="82"/>
      <c r="D17" s="82"/>
      <c r="E17" s="68"/>
      <c r="F17" s="125"/>
      <c r="G17" s="52">
        <f t="shared" si="2"/>
        <v>0.26</v>
      </c>
      <c r="H17" s="53">
        <f ca="1">_xll.CBcoupon($B$4,$G17,$B$6,$B$7,$B$8,$B$10,$B$11,$B$35:$C$39,H$5,$B$14,$B$15,$B$16,$B$17,$B$18,$B$19:$B$25,$M$4)</f>
        <v>2.214548480576049E-2</v>
      </c>
      <c r="I17" s="53">
        <f ca="1">_xll.CBcoupon($B$4,$G17,$B$6,$B$7,$B$8,$B$10,$B$11,$B$35:$C$39,I$5,$B$14,$B$15,$B$16,$B$17,$B$18,$B$19:$B$25,$M$4)</f>
        <v>2.2645433876235983E-2</v>
      </c>
      <c r="J17" s="53">
        <f ca="1">_xll.CBcoupon($B$4,$G17,$B$6,$B$7,$B$8,$B$10,$B$11,$B$35:$C$39,J$5,$B$14,$B$15,$B$16,$B$17,$B$18,$B$19:$B$25,$M$4)</f>
        <v>2.3127848769854086E-2</v>
      </c>
      <c r="K17" s="53">
        <f ca="1">_xll.CBcoupon($B$4,$G17,$B$6,$B$7,$B$8,$B$10,$B$11,$B$35:$C$39,K$5,$B$14,$B$15,$B$16,$B$17,$B$18,$B$19:$B$25,$M$4)</f>
        <v>2.3586852251973826E-2</v>
      </c>
      <c r="L17" s="53">
        <f ca="1">_xll.CBcoupon($B$4,$G17,$B$6,$B$7,$B$8,$B$10,$B$11,$B$35:$C$39,L$5,$B$14,$B$15,$B$16,$B$17,$B$18,$B$19:$B$25,$M$4)</f>
        <v>2.4035026968647833E-2</v>
      </c>
      <c r="M17" s="54">
        <f ca="1">_xll.CBcoupon($B$4,$G17,$B$6,$B$7,$B$8,$B$10,$B$11,$B$35:$C$39,M$5,$B$14,$B$15,$B$16,$B$17,$B$18,$B$19:$B$25,$M$4)</f>
        <v>2.447400663163396E-2</v>
      </c>
      <c r="N17" s="69"/>
      <c r="O17" s="83"/>
      <c r="P17" s="57">
        <v>3.7499999999999999E-2</v>
      </c>
      <c r="Q17" s="58">
        <f ca="1">_xll.CBcoupon($B$4,$B$5,$B$6,$B$7,$B$8,$B$10,P17,$B$35:$C$39,$B$13,$B$14,$B$15,$B$16,$B$17,$B$18,$B$19:$B$25,$B$26)</f>
        <v>2.565863869499194E-2</v>
      </c>
      <c r="R17" s="83"/>
      <c r="S17" s="83"/>
      <c r="T17" s="83"/>
      <c r="U17" s="83"/>
      <c r="V17" s="55"/>
      <c r="W17" s="86"/>
    </row>
    <row r="18" spans="1:23" customFormat="1" ht="15.75" customHeight="1" x14ac:dyDescent="0.25">
      <c r="A18" s="10" t="s">
        <v>39</v>
      </c>
      <c r="B18" s="23">
        <v>0</v>
      </c>
      <c r="C18" s="82"/>
      <c r="D18" s="82"/>
      <c r="E18" s="68"/>
      <c r="F18" s="18"/>
      <c r="G18" s="18"/>
      <c r="H18" s="18"/>
      <c r="I18" s="18"/>
      <c r="J18" s="18"/>
      <c r="K18" s="18"/>
      <c r="L18" s="18"/>
      <c r="M18" s="18"/>
      <c r="N18" s="69"/>
      <c r="O18" s="83"/>
      <c r="P18" s="57">
        <v>0.04</v>
      </c>
      <c r="Q18" s="58">
        <f ca="1">_xll.CBcoupon($B$4,$B$5,$B$6,$B$7,$B$8,$B$10,P18,$B$35:$C$39,$B$13,$B$14,$B$15,$B$16,$B$17,$B$18,$B$19:$B$25,$B$26)</f>
        <v>2.565863869499194E-2</v>
      </c>
      <c r="R18" s="83"/>
      <c r="S18" s="83"/>
      <c r="T18" s="83"/>
      <c r="U18" s="83"/>
      <c r="V18" s="55"/>
      <c r="W18" s="86"/>
    </row>
    <row r="19" spans="1:23" customFormat="1" ht="15" customHeight="1" x14ac:dyDescent="0.25">
      <c r="A19" s="10" t="s">
        <v>70</v>
      </c>
      <c r="B19" s="15">
        <v>0</v>
      </c>
      <c r="C19" s="82"/>
      <c r="D19" s="82"/>
      <c r="E19" s="68"/>
      <c r="F19" s="18"/>
      <c r="G19" s="18"/>
      <c r="H19" s="18"/>
      <c r="I19" s="18"/>
      <c r="J19" s="18"/>
      <c r="K19" s="18"/>
      <c r="L19" s="18"/>
      <c r="M19" s="18"/>
      <c r="N19" s="69"/>
      <c r="O19" s="83"/>
      <c r="P19" s="57">
        <v>4.2500000000000003E-2</v>
      </c>
      <c r="Q19" s="58">
        <f ca="1">_xll.CBcoupon($B$4,$B$5,$B$6,$B$7,$B$8,$B$10,P19,$B$35:$C$39,$B$13,$B$14,$B$15,$B$16,$B$17,$B$18,$B$19:$B$25,$B$26)</f>
        <v>2.565863869499194E-2</v>
      </c>
      <c r="R19" s="83"/>
      <c r="S19" s="83"/>
      <c r="T19" s="83"/>
      <c r="U19" s="83"/>
      <c r="V19" s="55"/>
      <c r="W19" s="86"/>
    </row>
    <row r="20" spans="1:23" customFormat="1" ht="15" customHeight="1" x14ac:dyDescent="0.25">
      <c r="A20" s="10" t="s">
        <v>71</v>
      </c>
      <c r="B20" s="15">
        <v>0</v>
      </c>
      <c r="C20" s="82"/>
      <c r="D20" s="82"/>
      <c r="E20" s="68"/>
      <c r="F20" s="18"/>
      <c r="G20" s="18"/>
      <c r="H20" s="18"/>
      <c r="I20" s="18"/>
      <c r="J20" s="18"/>
      <c r="K20" s="18"/>
      <c r="L20" s="18"/>
      <c r="M20" s="18"/>
      <c r="N20" s="69"/>
      <c r="O20" s="83"/>
      <c r="P20" s="57">
        <v>4.4999999999999998E-2</v>
      </c>
      <c r="Q20" s="58">
        <f ca="1">_xll.CBcoupon($B$4,$B$5,$B$6,$B$7,$B$8,$B$10,P20,$B$35:$C$39,$B$13,$B$14,$B$15,$B$16,$B$17,$B$18,$B$19:$B$25,$B$26)</f>
        <v>2.565863869499194E-2</v>
      </c>
      <c r="R20" s="83"/>
      <c r="S20" s="83"/>
      <c r="T20" s="83"/>
      <c r="U20" s="83"/>
      <c r="V20" s="55"/>
      <c r="W20" s="86"/>
    </row>
    <row r="21" spans="1:23" customFormat="1" ht="15" customHeight="1" x14ac:dyDescent="0.25">
      <c r="A21" s="10" t="s">
        <v>72</v>
      </c>
      <c r="B21" s="13">
        <v>0</v>
      </c>
      <c r="C21" s="82"/>
      <c r="D21" s="82"/>
      <c r="E21" s="68"/>
      <c r="F21" s="18"/>
      <c r="G21" s="18"/>
      <c r="H21" s="18"/>
      <c r="I21" s="18"/>
      <c r="J21" s="18"/>
      <c r="K21" s="18"/>
      <c r="L21" s="18"/>
      <c r="M21" s="18"/>
      <c r="N21" s="69"/>
      <c r="O21" s="83"/>
      <c r="P21" s="83"/>
      <c r="Q21" s="83"/>
      <c r="R21" s="83"/>
      <c r="S21" s="83"/>
      <c r="T21" s="83"/>
      <c r="U21" s="83"/>
      <c r="V21" s="55"/>
      <c r="W21" s="86"/>
    </row>
    <row r="22" spans="1:23" customFormat="1" ht="15" customHeight="1" x14ac:dyDescent="0.25">
      <c r="A22" s="10" t="s">
        <v>7</v>
      </c>
      <c r="B22" s="15">
        <v>0</v>
      </c>
      <c r="C22" s="82"/>
      <c r="D22" s="82"/>
      <c r="E22" s="68"/>
      <c r="F22" s="18"/>
      <c r="G22" s="18"/>
      <c r="H22" s="18"/>
      <c r="I22" s="18"/>
      <c r="J22" s="18"/>
      <c r="K22" s="18"/>
      <c r="L22" s="18"/>
      <c r="M22" s="18"/>
      <c r="N22" s="69"/>
      <c r="O22" s="83"/>
      <c r="P22" s="83"/>
      <c r="Q22" s="83"/>
      <c r="R22" s="83"/>
      <c r="S22" s="83"/>
      <c r="T22" s="83"/>
      <c r="U22" s="83"/>
      <c r="V22" s="55"/>
      <c r="W22" s="86"/>
    </row>
    <row r="23" spans="1:23" customFormat="1" ht="15" customHeight="1" x14ac:dyDescent="0.25">
      <c r="A23" s="10" t="s">
        <v>5</v>
      </c>
      <c r="B23" s="13">
        <v>0</v>
      </c>
      <c r="C23" s="82"/>
      <c r="D23" s="82"/>
      <c r="E23" s="68"/>
      <c r="F23" s="18"/>
      <c r="G23" s="18"/>
      <c r="H23" s="18"/>
      <c r="I23" s="18"/>
      <c r="J23" s="18"/>
      <c r="K23" s="18"/>
      <c r="L23" s="18"/>
      <c r="M23" s="18"/>
      <c r="N23" s="69"/>
      <c r="O23" s="83"/>
      <c r="P23" s="83"/>
      <c r="Q23" s="83"/>
      <c r="R23" s="83"/>
      <c r="S23" s="83"/>
      <c r="T23" s="83"/>
      <c r="U23" s="83"/>
      <c r="V23" s="55"/>
      <c r="W23" s="86"/>
    </row>
    <row r="24" spans="1:23" customFormat="1" ht="15" customHeight="1" x14ac:dyDescent="0.25">
      <c r="A24" s="10" t="s">
        <v>6</v>
      </c>
      <c r="B24" s="15">
        <v>0</v>
      </c>
      <c r="C24" s="82"/>
      <c r="D24" s="82"/>
      <c r="E24" s="68"/>
      <c r="F24" s="18"/>
      <c r="G24" s="18"/>
      <c r="H24" s="18"/>
      <c r="I24" s="18"/>
      <c r="J24" s="18"/>
      <c r="K24" s="18"/>
      <c r="L24" s="18"/>
      <c r="M24" s="18"/>
      <c r="N24" s="69"/>
      <c r="O24" s="83"/>
      <c r="P24" s="83"/>
      <c r="Q24" s="83"/>
      <c r="R24" s="83"/>
      <c r="S24" s="83"/>
      <c r="T24" s="83"/>
      <c r="U24" s="83"/>
      <c r="V24" s="55"/>
      <c r="W24" s="86"/>
    </row>
    <row r="25" spans="1:23" customFormat="1" x14ac:dyDescent="0.25">
      <c r="A25" s="10" t="s">
        <v>9</v>
      </c>
      <c r="B25" s="13">
        <v>0</v>
      </c>
      <c r="C25" s="82"/>
      <c r="D25" s="82"/>
      <c r="E25" s="70"/>
      <c r="F25" s="18"/>
      <c r="G25" s="18"/>
      <c r="H25" s="18"/>
      <c r="I25" s="18"/>
      <c r="J25" s="18"/>
      <c r="K25" s="18"/>
      <c r="L25" s="18"/>
      <c r="M25" s="18"/>
      <c r="N25" s="71"/>
      <c r="O25" s="83"/>
      <c r="P25" s="83"/>
      <c r="Q25" s="83"/>
      <c r="R25" s="83"/>
      <c r="S25" s="83"/>
      <c r="T25" s="83"/>
      <c r="U25" s="83"/>
      <c r="V25" s="55"/>
      <c r="W25" s="86"/>
    </row>
    <row r="26" spans="1:23" customFormat="1" x14ac:dyDescent="0.25">
      <c r="A26" s="10" t="s">
        <v>21</v>
      </c>
      <c r="B26" s="16">
        <v>20</v>
      </c>
      <c r="C26" s="82"/>
      <c r="D26" s="82"/>
      <c r="E26" s="70"/>
      <c r="F26" s="18"/>
      <c r="G26" s="18"/>
      <c r="H26" s="18"/>
      <c r="I26" s="18"/>
      <c r="J26" s="18"/>
      <c r="K26" s="18"/>
      <c r="L26" s="18"/>
      <c r="M26" s="18"/>
      <c r="N26" s="71"/>
      <c r="O26" s="83"/>
      <c r="P26" s="83"/>
      <c r="Q26" s="83"/>
      <c r="R26" s="83"/>
      <c r="S26" s="83"/>
      <c r="T26" s="83"/>
      <c r="U26" s="83"/>
      <c r="V26" s="55"/>
      <c r="W26" s="86"/>
    </row>
    <row r="27" spans="1:23" customFormat="1" ht="21.75" thickBot="1" x14ac:dyDescent="0.4">
      <c r="A27" s="106" t="s">
        <v>59</v>
      </c>
      <c r="B27" s="96">
        <f ca="1">_xll.CBprice($B$4,$B$5,$B$6,$B$7,$B$8,$B$9,$B$10,$B$11,$B$35:$C$39,$B$13,$B$14,$B$15,$B$16,$B$17,$B$18,$B$19:$B$25,$B$26)</f>
        <v>1.0009388700782105</v>
      </c>
      <c r="C27" s="82"/>
      <c r="D27" s="82"/>
      <c r="E27" s="70"/>
      <c r="F27" s="18"/>
      <c r="G27" s="18"/>
      <c r="H27" s="18"/>
      <c r="I27" s="18"/>
      <c r="J27" s="18"/>
      <c r="K27" s="18"/>
      <c r="L27" s="18"/>
      <c r="M27" s="18"/>
      <c r="N27" s="71"/>
      <c r="O27" s="83"/>
      <c r="P27" s="83"/>
      <c r="Q27" s="83"/>
      <c r="R27" s="83"/>
      <c r="S27" s="83"/>
      <c r="T27" s="83"/>
      <c r="U27" s="83"/>
      <c r="V27" s="55"/>
      <c r="W27" s="86"/>
    </row>
    <row r="28" spans="1:23" customFormat="1" ht="21.75" thickBot="1" x14ac:dyDescent="0.4">
      <c r="A28" s="106" t="s">
        <v>74</v>
      </c>
      <c r="B28" s="96">
        <f ca="1">_xll.CBprice(0,$B$5,$B$6,$B$7,$B$8,$B$9,$B$10,$B$11,$B$35:$C$39,$B$13,$B$14,$B$15,$B$16,$B$17,$B$18,$B$19:$B$25,$B$26)</f>
        <v>0.89788746430431399</v>
      </c>
      <c r="C28" s="82"/>
      <c r="D28" s="82"/>
      <c r="E28" s="68"/>
      <c r="F28" s="72"/>
      <c r="G28" s="18"/>
      <c r="H28" s="18"/>
      <c r="I28" s="18"/>
      <c r="J28" s="18"/>
      <c r="K28" s="18"/>
      <c r="L28" s="18"/>
      <c r="M28" s="18"/>
      <c r="N28" s="69"/>
      <c r="O28" s="83"/>
      <c r="P28" s="83"/>
      <c r="Q28" s="83"/>
      <c r="R28" s="83"/>
      <c r="S28" s="83"/>
      <c r="T28" s="83"/>
      <c r="U28" s="83"/>
      <c r="V28" s="55"/>
      <c r="W28" s="86"/>
    </row>
    <row r="29" spans="1:23" s="24" customFormat="1" x14ac:dyDescent="0.25">
      <c r="A29" s="87"/>
      <c r="B29" s="85"/>
      <c r="C29" s="82"/>
      <c r="D29" s="82"/>
      <c r="E29" s="68"/>
      <c r="F29" s="72"/>
      <c r="G29" s="18"/>
      <c r="H29" s="18"/>
      <c r="I29" s="18"/>
      <c r="J29" s="18"/>
      <c r="K29" s="18"/>
      <c r="L29" s="18"/>
      <c r="M29" s="18"/>
      <c r="N29" s="69"/>
      <c r="O29" s="83"/>
      <c r="P29" s="83"/>
      <c r="Q29" s="83"/>
      <c r="R29" s="83"/>
      <c r="S29" s="83"/>
      <c r="T29" s="83"/>
      <c r="U29" s="83"/>
      <c r="V29" s="55"/>
      <c r="W29" s="86"/>
    </row>
    <row r="30" spans="1:23" x14ac:dyDescent="0.25">
      <c r="A30" s="87"/>
      <c r="B30" s="85"/>
      <c r="C30" s="82"/>
      <c r="D30" s="82"/>
      <c r="E30" s="68"/>
      <c r="F30" s="72"/>
      <c r="G30" s="18"/>
      <c r="H30" s="18"/>
      <c r="I30" s="18"/>
      <c r="J30" s="18"/>
      <c r="K30" s="18"/>
      <c r="L30" s="18"/>
      <c r="M30" s="18"/>
      <c r="N30" s="69"/>
      <c r="O30" s="83"/>
      <c r="P30" s="83"/>
      <c r="Q30" s="83"/>
      <c r="R30" s="83"/>
      <c r="S30" s="83"/>
      <c r="T30" s="83"/>
      <c r="U30" s="83"/>
      <c r="V30" s="55"/>
      <c r="W30" s="86"/>
    </row>
    <row r="31" spans="1:23" ht="15.75" thickBot="1" x14ac:dyDescent="0.3">
      <c r="A31" s="87"/>
      <c r="B31" s="85"/>
      <c r="C31" s="82"/>
      <c r="D31" s="82"/>
      <c r="E31" s="68"/>
      <c r="F31" s="72"/>
      <c r="G31" s="18"/>
      <c r="H31" s="18"/>
      <c r="I31" s="18"/>
      <c r="J31" s="18"/>
      <c r="K31" s="18"/>
      <c r="L31" s="18"/>
      <c r="M31" s="18"/>
      <c r="N31" s="69"/>
      <c r="O31" s="83"/>
      <c r="P31" s="83"/>
      <c r="Q31" s="83"/>
      <c r="R31" s="83"/>
      <c r="S31" s="83"/>
      <c r="T31" s="83"/>
      <c r="U31" s="83"/>
      <c r="V31" s="55"/>
      <c r="W31" s="86"/>
    </row>
    <row r="32" spans="1:23" ht="15.75" thickBot="1" x14ac:dyDescent="0.3">
      <c r="A32" s="34">
        <f ca="1">TODAY()</f>
        <v>41495</v>
      </c>
      <c r="B32" s="85"/>
      <c r="C32" s="82"/>
      <c r="D32" s="102"/>
      <c r="E32" s="68"/>
      <c r="F32" s="72"/>
      <c r="G32" s="18"/>
      <c r="H32" s="18"/>
      <c r="I32" s="18"/>
      <c r="J32" s="18"/>
      <c r="K32" s="18"/>
      <c r="L32" s="18"/>
      <c r="M32" s="18"/>
      <c r="N32" s="69"/>
      <c r="O32" s="83"/>
      <c r="P32" s="83"/>
      <c r="Q32" s="83"/>
      <c r="R32" s="83"/>
      <c r="S32" s="83"/>
      <c r="T32" s="83"/>
      <c r="U32" s="83"/>
      <c r="V32" s="55"/>
      <c r="W32" s="86"/>
    </row>
    <row r="33" spans="1:23" ht="24" thickBot="1" x14ac:dyDescent="0.4">
      <c r="A33" s="114" t="s">
        <v>26</v>
      </c>
      <c r="B33" s="115"/>
      <c r="C33" s="116"/>
      <c r="D33" s="102"/>
      <c r="E33" s="68"/>
      <c r="F33" s="72"/>
      <c r="G33" s="18"/>
      <c r="H33" s="18"/>
      <c r="I33" s="18"/>
      <c r="J33" s="18"/>
      <c r="K33" s="18"/>
      <c r="L33" s="18"/>
      <c r="M33" s="18"/>
      <c r="N33" s="69"/>
      <c r="O33" s="83"/>
      <c r="P33" s="83"/>
      <c r="Q33" s="83"/>
      <c r="R33" s="83"/>
      <c r="S33" s="83"/>
      <c r="T33" s="83"/>
      <c r="U33" s="83"/>
      <c r="V33" s="55"/>
      <c r="W33" s="86"/>
    </row>
    <row r="34" spans="1:23" ht="15.75" thickBot="1" x14ac:dyDescent="0.3">
      <c r="A34" s="40" t="s">
        <v>27</v>
      </c>
      <c r="B34" s="35" t="s">
        <v>24</v>
      </c>
      <c r="C34" s="36" t="s">
        <v>20</v>
      </c>
      <c r="D34" s="102"/>
      <c r="E34" s="68"/>
      <c r="F34" s="72"/>
      <c r="G34" s="18"/>
      <c r="H34" s="18"/>
      <c r="I34" s="18"/>
      <c r="J34" s="18"/>
      <c r="K34" s="18"/>
      <c r="L34" s="18"/>
      <c r="M34" s="18"/>
      <c r="N34" s="69"/>
      <c r="O34" s="83"/>
      <c r="P34" s="83"/>
      <c r="Q34" s="83"/>
      <c r="R34" s="83"/>
      <c r="S34" s="83"/>
      <c r="T34" s="83"/>
      <c r="U34" s="83"/>
      <c r="V34" s="55"/>
      <c r="W34" s="86"/>
    </row>
    <row r="35" spans="1:23" x14ac:dyDescent="0.25">
      <c r="A35" s="41">
        <v>41758</v>
      </c>
      <c r="B35" s="37">
        <f ca="1">(A35-$A$32)/365</f>
        <v>0.72054794520547949</v>
      </c>
      <c r="C35" s="39">
        <v>2.5000000000000001E-2</v>
      </c>
      <c r="D35" s="102"/>
      <c r="E35" s="68"/>
      <c r="F35" s="72"/>
      <c r="G35" s="18"/>
      <c r="H35" s="18"/>
      <c r="I35" s="18"/>
      <c r="J35" s="18"/>
      <c r="K35" s="18"/>
      <c r="L35" s="18"/>
      <c r="M35" s="18"/>
      <c r="N35" s="69"/>
      <c r="O35" s="83"/>
      <c r="P35" s="83"/>
      <c r="Q35" s="83"/>
      <c r="R35" s="83"/>
      <c r="S35" s="83"/>
      <c r="T35" s="83"/>
      <c r="U35" s="83"/>
      <c r="V35" s="55"/>
      <c r="W35" s="86"/>
    </row>
    <row r="36" spans="1:23" x14ac:dyDescent="0.25">
      <c r="A36" s="42">
        <v>42123</v>
      </c>
      <c r="B36" s="38">
        <f ca="1">(A36-$A$32)/365</f>
        <v>1.7205479452054795</v>
      </c>
      <c r="C36" s="39">
        <v>2.5000000000000001E-2</v>
      </c>
      <c r="D36" s="101"/>
      <c r="E36" s="68"/>
      <c r="F36" s="72"/>
      <c r="G36" s="18"/>
      <c r="H36" s="18"/>
      <c r="I36" s="18"/>
      <c r="J36" s="18"/>
      <c r="K36" s="18"/>
      <c r="L36" s="18"/>
      <c r="M36" s="18"/>
      <c r="N36" s="69"/>
      <c r="O36" s="83"/>
      <c r="P36" s="83"/>
      <c r="Q36" s="83"/>
      <c r="R36" s="83"/>
      <c r="S36" s="83"/>
      <c r="T36" s="83"/>
      <c r="U36" s="83"/>
      <c r="V36" s="55"/>
      <c r="W36" s="86"/>
    </row>
    <row r="37" spans="1:23" x14ac:dyDescent="0.25">
      <c r="A37" s="43">
        <v>42489</v>
      </c>
      <c r="B37" s="38">
        <f ca="1">(A37-$A$32)/365</f>
        <v>2.7232876712328768</v>
      </c>
      <c r="C37" s="39">
        <v>2.5000000000000001E-2</v>
      </c>
      <c r="D37" s="101"/>
      <c r="E37" s="68"/>
      <c r="F37" s="72"/>
      <c r="G37" s="18"/>
      <c r="H37" s="18"/>
      <c r="I37" s="18"/>
      <c r="J37" s="18"/>
      <c r="K37" s="18"/>
      <c r="L37" s="18"/>
      <c r="M37" s="18"/>
      <c r="N37" s="69"/>
      <c r="O37" s="83"/>
      <c r="P37" s="83"/>
      <c r="Q37" s="83"/>
      <c r="R37" s="83"/>
      <c r="S37" s="83"/>
      <c r="T37" s="83"/>
      <c r="U37" s="83"/>
      <c r="V37" s="55"/>
      <c r="W37" s="86"/>
    </row>
    <row r="38" spans="1:23" x14ac:dyDescent="0.25">
      <c r="A38" s="42">
        <v>42854</v>
      </c>
      <c r="B38" s="38">
        <f ca="1">(A38-$A$32)/365</f>
        <v>3.7232876712328768</v>
      </c>
      <c r="C38" s="39">
        <v>2.5000000000000001E-2</v>
      </c>
      <c r="D38" s="101"/>
      <c r="E38" s="68"/>
      <c r="F38" s="72"/>
      <c r="G38" s="18"/>
      <c r="H38" s="18"/>
      <c r="I38" s="18"/>
      <c r="J38" s="18"/>
      <c r="K38" s="18"/>
      <c r="L38" s="18"/>
      <c r="M38" s="18"/>
      <c r="N38" s="69"/>
      <c r="O38" s="83"/>
      <c r="P38" s="83"/>
      <c r="Q38" s="83"/>
      <c r="R38" s="83"/>
      <c r="S38" s="83"/>
      <c r="T38" s="83"/>
      <c r="U38" s="83"/>
      <c r="V38" s="55"/>
      <c r="W38" s="86"/>
    </row>
    <row r="39" spans="1:23" x14ac:dyDescent="0.25">
      <c r="A39" s="43">
        <v>43219</v>
      </c>
      <c r="B39" s="38">
        <f ca="1">(A39-$A$32)/365</f>
        <v>4.7232876712328764</v>
      </c>
      <c r="C39" s="39">
        <v>2.5000000000000001E-2</v>
      </c>
      <c r="D39" s="101"/>
      <c r="E39" s="68"/>
      <c r="F39" s="72"/>
      <c r="G39" s="18"/>
      <c r="H39" s="18"/>
      <c r="I39" s="18"/>
      <c r="J39" s="18"/>
      <c r="K39" s="18"/>
      <c r="L39" s="18"/>
      <c r="M39" s="18"/>
      <c r="N39" s="69"/>
      <c r="O39" s="83"/>
      <c r="P39" s="83"/>
      <c r="Q39" s="83"/>
      <c r="R39" s="83"/>
      <c r="S39" s="83"/>
      <c r="T39" s="83"/>
      <c r="U39" s="83"/>
      <c r="V39" s="55"/>
      <c r="W39" s="86"/>
    </row>
    <row r="40" spans="1:23" x14ac:dyDescent="0.25">
      <c r="A40" s="43"/>
      <c r="B40" s="38"/>
      <c r="C40" s="39"/>
      <c r="D40" s="101"/>
      <c r="E40" s="68"/>
      <c r="F40" s="72"/>
      <c r="G40" s="18"/>
      <c r="H40" s="18"/>
      <c r="I40" s="18"/>
      <c r="J40" s="18"/>
      <c r="K40" s="18"/>
      <c r="L40" s="18"/>
      <c r="M40" s="18"/>
      <c r="N40" s="69"/>
      <c r="O40" s="83"/>
      <c r="P40" s="83"/>
      <c r="Q40" s="83"/>
      <c r="R40" s="83"/>
      <c r="S40" s="83"/>
      <c r="T40" s="83"/>
      <c r="U40" s="83"/>
      <c r="V40" s="55"/>
      <c r="W40" s="86"/>
    </row>
    <row r="41" spans="1:23" x14ac:dyDescent="0.25">
      <c r="A41" s="43"/>
      <c r="B41" s="38"/>
      <c r="C41" s="39"/>
      <c r="D41" s="101"/>
      <c r="E41" s="68"/>
      <c r="F41" s="72"/>
      <c r="G41" s="18"/>
      <c r="H41" s="18"/>
      <c r="I41" s="18"/>
      <c r="J41" s="18"/>
      <c r="K41" s="18"/>
      <c r="L41" s="18"/>
      <c r="M41" s="18"/>
      <c r="N41" s="69"/>
      <c r="O41" s="83"/>
      <c r="P41" s="83"/>
      <c r="Q41" s="83"/>
      <c r="R41" s="83"/>
      <c r="S41" s="83"/>
      <c r="T41" s="83"/>
      <c r="U41" s="83"/>
      <c r="V41" s="55"/>
      <c r="W41" s="86"/>
    </row>
    <row r="42" spans="1:23" x14ac:dyDescent="0.25">
      <c r="A42" s="43"/>
      <c r="B42" s="38"/>
      <c r="C42" s="39"/>
      <c r="D42" s="101"/>
      <c r="E42" s="68"/>
      <c r="F42" s="72"/>
      <c r="G42" s="18"/>
      <c r="H42" s="18"/>
      <c r="I42" s="18"/>
      <c r="J42" s="18"/>
      <c r="K42" s="18"/>
      <c r="L42" s="18"/>
      <c r="M42" s="18"/>
      <c r="N42" s="69"/>
      <c r="O42" s="83"/>
      <c r="P42" s="83"/>
      <c r="Q42" s="83"/>
      <c r="R42" s="83"/>
      <c r="S42" s="83"/>
      <c r="T42" s="83"/>
      <c r="U42" s="83"/>
      <c r="V42" s="55"/>
      <c r="W42" s="86"/>
    </row>
    <row r="43" spans="1:23" ht="15.75" thickBot="1" x14ac:dyDescent="0.3">
      <c r="A43" s="43"/>
      <c r="B43" s="38"/>
      <c r="C43" s="39"/>
      <c r="D43" s="101"/>
      <c r="E43" s="68"/>
      <c r="F43" s="72"/>
      <c r="G43" s="18"/>
      <c r="H43" s="18"/>
      <c r="I43" s="18"/>
      <c r="J43" s="18"/>
      <c r="K43" s="18"/>
      <c r="L43" s="18"/>
      <c r="M43" s="18"/>
      <c r="N43" s="69"/>
      <c r="O43" s="83"/>
      <c r="P43" s="83"/>
      <c r="Q43" s="83"/>
      <c r="R43" s="83"/>
      <c r="S43" s="83"/>
      <c r="T43" s="83"/>
      <c r="U43" s="83"/>
      <c r="V43" s="55"/>
      <c r="W43" s="86"/>
    </row>
    <row r="44" spans="1:23" ht="21.75" thickBot="1" x14ac:dyDescent="0.4">
      <c r="A44" s="43"/>
      <c r="B44" s="38"/>
      <c r="C44" s="39"/>
      <c r="D44" s="101"/>
      <c r="E44" s="68"/>
      <c r="F44" s="72"/>
      <c r="G44" s="18"/>
      <c r="H44" s="18"/>
      <c r="I44" s="18"/>
      <c r="J44" s="18"/>
      <c r="K44" s="18"/>
      <c r="L44" s="18"/>
      <c r="M44" s="18"/>
      <c r="N44" s="69"/>
      <c r="O44" s="83"/>
      <c r="P44" s="133" t="s">
        <v>67</v>
      </c>
      <c r="Q44" s="111"/>
      <c r="R44" s="111"/>
      <c r="S44" s="112"/>
      <c r="T44" s="112"/>
      <c r="U44" s="112"/>
      <c r="V44" s="113"/>
      <c r="W44" s="86"/>
    </row>
    <row r="45" spans="1:23" ht="16.5" thickBot="1" x14ac:dyDescent="0.3">
      <c r="A45" s="43"/>
      <c r="B45" s="38"/>
      <c r="C45" s="39"/>
      <c r="D45" s="101"/>
      <c r="E45" s="68"/>
      <c r="F45" s="72"/>
      <c r="G45" s="18"/>
      <c r="H45" s="18"/>
      <c r="I45" s="18"/>
      <c r="J45" s="18"/>
      <c r="K45" s="18"/>
      <c r="L45" s="18"/>
      <c r="M45" s="18"/>
      <c r="N45" s="69"/>
      <c r="O45" s="83"/>
      <c r="P45" s="97" t="s">
        <v>63</v>
      </c>
      <c r="Q45" s="98">
        <v>0.26</v>
      </c>
      <c r="R45" s="97" t="s">
        <v>68</v>
      </c>
      <c r="S45" s="98">
        <f ca="1">_xll.CBcoupon($B$4,$B$5,$B$6,$B$7,$B$8,$B$10,$B$11,$B$35:$C$39,$B$13,$B$14,$B$15,$B$16,$B$17,$B$18,$B$19:$B$25,$B$26)</f>
        <v>2.3376338197630357E-2</v>
      </c>
      <c r="T45" s="83"/>
      <c r="U45" s="83"/>
      <c r="V45" s="55"/>
      <c r="W45" s="86"/>
    </row>
    <row r="46" spans="1:23" ht="15.75" thickBot="1" x14ac:dyDescent="0.3">
      <c r="A46" s="43"/>
      <c r="B46" s="38"/>
      <c r="C46" s="39"/>
      <c r="D46" s="101"/>
      <c r="E46" s="68"/>
      <c r="F46" s="72"/>
      <c r="G46" s="18"/>
      <c r="H46" s="18"/>
      <c r="I46" s="18"/>
      <c r="J46" s="18"/>
      <c r="K46" s="18"/>
      <c r="L46" s="18"/>
      <c r="M46" s="18"/>
      <c r="N46" s="69"/>
      <c r="O46" s="83"/>
      <c r="P46" s="63" t="s">
        <v>61</v>
      </c>
      <c r="Q46" s="63" t="s">
        <v>62</v>
      </c>
      <c r="R46" s="64" t="s">
        <v>60</v>
      </c>
      <c r="S46" s="64" t="s">
        <v>65</v>
      </c>
      <c r="T46" s="64" t="s">
        <v>64</v>
      </c>
      <c r="U46" s="64" t="s">
        <v>66</v>
      </c>
      <c r="V46" s="55"/>
      <c r="W46" s="86"/>
    </row>
    <row r="47" spans="1:23" ht="15.75" x14ac:dyDescent="0.25">
      <c r="A47" s="43"/>
      <c r="B47" s="38"/>
      <c r="C47" s="39"/>
      <c r="D47" s="101"/>
      <c r="E47" s="68"/>
      <c r="F47" s="72"/>
      <c r="G47" s="18"/>
      <c r="H47" s="18"/>
      <c r="I47" s="18"/>
      <c r="J47" s="18"/>
      <c r="K47" s="18"/>
      <c r="L47" s="18"/>
      <c r="M47" s="18"/>
      <c r="N47" s="69"/>
      <c r="O47" s="83"/>
      <c r="P47" s="60">
        <v>-0.03</v>
      </c>
      <c r="Q47" s="61">
        <f t="shared" ref="Q47:Q73" si="3">(1+$P47)^$B$16-1</f>
        <v>-0.1412659743000001</v>
      </c>
      <c r="R47" s="62">
        <f>$B$4*(1+Q47)</f>
        <v>9.1884540749899983</v>
      </c>
      <c r="S47" s="61">
        <f t="shared" ref="S47:S73" si="4">($B$7+$B$6)*(1-$Q$45)</f>
        <v>3.5150000000000001E-2</v>
      </c>
      <c r="T47" s="61">
        <f t="shared" ref="T47:T73" si="5">$P47+AVERAGE($C$35:$C$53)</f>
        <v>-4.9999999999999975E-3</v>
      </c>
      <c r="U47" s="61">
        <f t="shared" ref="U47:U73" ca="1" si="6">IF($Q47&lt;$B$12,$S$45,$S$45+($R47/((1+$B$12)*$B$4))^(1/$B$16)-1)</f>
        <v>2.3376338197630357E-2</v>
      </c>
      <c r="V47" s="56"/>
      <c r="W47" s="86"/>
    </row>
    <row r="48" spans="1:23" ht="15.75" x14ac:dyDescent="0.25">
      <c r="A48" s="43"/>
      <c r="B48" s="38"/>
      <c r="C48" s="39"/>
      <c r="D48" s="101"/>
      <c r="E48" s="68"/>
      <c r="F48" s="72"/>
      <c r="G48" s="18"/>
      <c r="H48" s="18"/>
      <c r="I48" s="18"/>
      <c r="J48" s="18"/>
      <c r="K48" s="18"/>
      <c r="L48" s="18"/>
      <c r="M48" s="18"/>
      <c r="N48" s="69"/>
      <c r="O48" s="83"/>
      <c r="P48" s="57">
        <v>-2.5000000000000001E-2</v>
      </c>
      <c r="Q48" s="58">
        <f t="shared" si="3"/>
        <v>-0.11890430664062512</v>
      </c>
      <c r="R48" s="59">
        <f t="shared" ref="R48:R73" si="7">$B$4*(1+Q48)</f>
        <v>9.4277239189453113</v>
      </c>
      <c r="S48" s="58">
        <f t="shared" si="4"/>
        <v>3.5150000000000001E-2</v>
      </c>
      <c r="T48" s="58">
        <f t="shared" si="5"/>
        <v>0</v>
      </c>
      <c r="U48" s="61">
        <f t="shared" ca="1" si="6"/>
        <v>2.3376338197630357E-2</v>
      </c>
      <c r="V48" s="56"/>
      <c r="W48" s="86"/>
    </row>
    <row r="49" spans="1:26" ht="15.75" x14ac:dyDescent="0.25">
      <c r="A49" s="43"/>
      <c r="B49" s="38"/>
      <c r="C49" s="39"/>
      <c r="D49" s="101"/>
      <c r="E49" s="68"/>
      <c r="F49" s="72"/>
      <c r="G49" s="18"/>
      <c r="H49" s="18"/>
      <c r="I49" s="18"/>
      <c r="J49" s="18"/>
      <c r="K49" s="18"/>
      <c r="L49" s="18"/>
      <c r="M49" s="18"/>
      <c r="N49" s="69"/>
      <c r="O49" s="83"/>
      <c r="P49" s="57">
        <v>-0.02</v>
      </c>
      <c r="Q49" s="58">
        <f t="shared" si="3"/>
        <v>-9.6079203200000185E-2</v>
      </c>
      <c r="R49" s="59">
        <f t="shared" si="7"/>
        <v>9.6719525257599965</v>
      </c>
      <c r="S49" s="58">
        <f t="shared" si="4"/>
        <v>3.5150000000000001E-2</v>
      </c>
      <c r="T49" s="58">
        <f t="shared" si="5"/>
        <v>5.000000000000001E-3</v>
      </c>
      <c r="U49" s="61">
        <f t="shared" ca="1" si="6"/>
        <v>2.3376338197630357E-2</v>
      </c>
      <c r="V49" s="56"/>
      <c r="W49" s="86"/>
    </row>
    <row r="50" spans="1:26" ht="15.75" x14ac:dyDescent="0.25">
      <c r="A50" s="43"/>
      <c r="B50" s="38"/>
      <c r="C50" s="39"/>
      <c r="D50" s="82"/>
      <c r="E50" s="68"/>
      <c r="F50" s="72"/>
      <c r="G50" s="18"/>
      <c r="H50" s="18"/>
      <c r="I50" s="18"/>
      <c r="J50" s="18"/>
      <c r="K50" s="18"/>
      <c r="L50" s="18"/>
      <c r="M50" s="18"/>
      <c r="N50" s="69"/>
      <c r="O50" s="83"/>
      <c r="P50" s="57">
        <v>-1.4999999999999999E-2</v>
      </c>
      <c r="Q50" s="58">
        <f t="shared" si="3"/>
        <v>-7.2783497634374972E-2</v>
      </c>
      <c r="R50" s="59">
        <f t="shared" si="7"/>
        <v>9.9212165753121866</v>
      </c>
      <c r="S50" s="58">
        <f t="shared" si="4"/>
        <v>3.5150000000000001E-2</v>
      </c>
      <c r="T50" s="58">
        <f t="shared" si="5"/>
        <v>1.0000000000000002E-2</v>
      </c>
      <c r="U50" s="61">
        <f t="shared" ca="1" si="6"/>
        <v>2.3376338197630357E-2</v>
      </c>
      <c r="V50" s="56"/>
      <c r="W50" s="86"/>
    </row>
    <row r="51" spans="1:26" ht="15.75" x14ac:dyDescent="0.25">
      <c r="A51" s="43"/>
      <c r="B51" s="38"/>
      <c r="C51" s="39"/>
      <c r="D51" s="82"/>
      <c r="E51" s="68"/>
      <c r="F51" s="72"/>
      <c r="G51" s="18"/>
      <c r="H51" s="18"/>
      <c r="I51" s="18"/>
      <c r="J51" s="18"/>
      <c r="K51" s="18"/>
      <c r="L51" s="18"/>
      <c r="M51" s="18"/>
      <c r="N51" s="69"/>
      <c r="O51" s="83"/>
      <c r="P51" s="57">
        <v>-0.01</v>
      </c>
      <c r="Q51" s="58">
        <f t="shared" si="3"/>
        <v>-4.9009950100000088E-2</v>
      </c>
      <c r="R51" s="59">
        <f t="shared" si="7"/>
        <v>10.175593533929998</v>
      </c>
      <c r="S51" s="58">
        <f t="shared" si="4"/>
        <v>3.5150000000000001E-2</v>
      </c>
      <c r="T51" s="58">
        <f t="shared" si="5"/>
        <v>1.5000000000000001E-2</v>
      </c>
      <c r="U51" s="61">
        <f t="shared" ca="1" si="6"/>
        <v>2.3376338197630357E-2</v>
      </c>
      <c r="V51" s="56"/>
      <c r="W51" s="86"/>
    </row>
    <row r="52" spans="1:26" ht="15.75" x14ac:dyDescent="0.25">
      <c r="A52" s="43"/>
      <c r="B52" s="38"/>
      <c r="C52" s="39"/>
      <c r="D52" s="82"/>
      <c r="E52" s="68"/>
      <c r="F52" s="72"/>
      <c r="G52" s="18"/>
      <c r="H52" s="18"/>
      <c r="I52" s="18"/>
      <c r="J52" s="18"/>
      <c r="K52" s="18"/>
      <c r="L52" s="18"/>
      <c r="M52" s="18"/>
      <c r="N52" s="69"/>
      <c r="O52" s="83"/>
      <c r="P52" s="57">
        <v>-5.0000000000000001E-3</v>
      </c>
      <c r="Q52" s="58">
        <f t="shared" si="3"/>
        <v>-2.4751246878124911E-2</v>
      </c>
      <c r="R52" s="59">
        <f t="shared" si="7"/>
        <v>10.435161658404063</v>
      </c>
      <c r="S52" s="58">
        <f t="shared" si="4"/>
        <v>3.5150000000000001E-2</v>
      </c>
      <c r="T52" s="58">
        <f t="shared" si="5"/>
        <v>0.02</v>
      </c>
      <c r="U52" s="61">
        <f t="shared" ca="1" si="6"/>
        <v>2.3376338197630357E-2</v>
      </c>
      <c r="V52" s="56"/>
      <c r="W52" s="86"/>
    </row>
    <row r="53" spans="1:26" ht="15.75" x14ac:dyDescent="0.25">
      <c r="A53" s="43"/>
      <c r="B53" s="38"/>
      <c r="C53" s="39"/>
      <c r="D53" s="82"/>
      <c r="E53" s="68"/>
      <c r="F53" s="72"/>
      <c r="G53" s="18"/>
      <c r="H53" s="18"/>
      <c r="I53" s="18"/>
      <c r="J53" s="18"/>
      <c r="K53" s="18"/>
      <c r="L53" s="18"/>
      <c r="M53" s="18"/>
      <c r="N53" s="69"/>
      <c r="O53" s="83"/>
      <c r="P53" s="57">
        <v>0</v>
      </c>
      <c r="Q53" s="58">
        <f t="shared" si="3"/>
        <v>0</v>
      </c>
      <c r="R53" s="59">
        <f t="shared" si="7"/>
        <v>10.7</v>
      </c>
      <c r="S53" s="58">
        <f t="shared" si="4"/>
        <v>3.5150000000000001E-2</v>
      </c>
      <c r="T53" s="58">
        <f t="shared" si="5"/>
        <v>2.5000000000000001E-2</v>
      </c>
      <c r="U53" s="61">
        <f t="shared" ca="1" si="6"/>
        <v>2.3376338197630357E-2</v>
      </c>
      <c r="V53" s="56"/>
      <c r="W53" s="86"/>
    </row>
    <row r="54" spans="1:26" ht="15.75" x14ac:dyDescent="0.25">
      <c r="A54" s="87"/>
      <c r="B54" s="85"/>
      <c r="C54" s="82"/>
      <c r="D54" s="82"/>
      <c r="E54" s="68"/>
      <c r="F54" s="72"/>
      <c r="G54" s="18"/>
      <c r="H54" s="18"/>
      <c r="I54" s="18"/>
      <c r="J54" s="18"/>
      <c r="K54" s="18"/>
      <c r="L54" s="18"/>
      <c r="M54" s="18"/>
      <c r="N54" s="69"/>
      <c r="O54" s="83"/>
      <c r="P54" s="57">
        <v>5.0000000000000001E-3</v>
      </c>
      <c r="Q54" s="58">
        <f t="shared" si="3"/>
        <v>2.5251253128124151E-2</v>
      </c>
      <c r="R54" s="59">
        <f t="shared" si="7"/>
        <v>10.970188408470928</v>
      </c>
      <c r="S54" s="58">
        <f t="shared" si="4"/>
        <v>3.5150000000000001E-2</v>
      </c>
      <c r="T54" s="58">
        <f t="shared" si="5"/>
        <v>3.0000000000000002E-2</v>
      </c>
      <c r="U54" s="61">
        <f t="shared" ca="1" si="6"/>
        <v>2.3376338197630357E-2</v>
      </c>
      <c r="V54" s="56"/>
      <c r="W54" s="86"/>
    </row>
    <row r="55" spans="1:26" ht="15.75" x14ac:dyDescent="0.25">
      <c r="A55" s="87"/>
      <c r="B55" s="85"/>
      <c r="C55" s="82"/>
      <c r="D55" s="82"/>
      <c r="E55" s="68"/>
      <c r="F55" s="72"/>
      <c r="G55" s="18"/>
      <c r="H55" s="18"/>
      <c r="I55" s="18"/>
      <c r="J55" s="18"/>
      <c r="K55" s="18"/>
      <c r="L55" s="18"/>
      <c r="M55" s="18"/>
      <c r="N55" s="69"/>
      <c r="O55" s="83"/>
      <c r="P55" s="57">
        <v>0.01</v>
      </c>
      <c r="Q55" s="58">
        <f t="shared" si="3"/>
        <v>5.1010050099999926E-2</v>
      </c>
      <c r="R55" s="59">
        <f t="shared" si="7"/>
        <v>11.245807536069998</v>
      </c>
      <c r="S55" s="58">
        <f t="shared" si="4"/>
        <v>3.5150000000000001E-2</v>
      </c>
      <c r="T55" s="58">
        <f t="shared" si="5"/>
        <v>3.5000000000000003E-2</v>
      </c>
      <c r="U55" s="61">
        <f t="shared" ca="1" si="6"/>
        <v>2.3376338197630357E-2</v>
      </c>
      <c r="V55" s="56"/>
      <c r="W55" s="86"/>
    </row>
    <row r="56" spans="1:26" ht="15.75" x14ac:dyDescent="0.25">
      <c r="A56" s="87"/>
      <c r="B56" s="85"/>
      <c r="C56" s="82"/>
      <c r="D56" s="82"/>
      <c r="E56" s="68"/>
      <c r="F56" s="72"/>
      <c r="G56" s="18"/>
      <c r="H56" s="18"/>
      <c r="I56" s="18"/>
      <c r="J56" s="18"/>
      <c r="K56" s="18"/>
      <c r="L56" s="18"/>
      <c r="M56" s="18"/>
      <c r="N56" s="69"/>
      <c r="O56" s="83"/>
      <c r="P56" s="57">
        <v>1.4999999999999999E-2</v>
      </c>
      <c r="Q56" s="58">
        <f t="shared" si="3"/>
        <v>7.7284003884374286E-2</v>
      </c>
      <c r="R56" s="59">
        <f t="shared" si="7"/>
        <v>11.526938841562805</v>
      </c>
      <c r="S56" s="58">
        <f t="shared" si="4"/>
        <v>3.5150000000000001E-2</v>
      </c>
      <c r="T56" s="58">
        <f t="shared" si="5"/>
        <v>0.04</v>
      </c>
      <c r="U56" s="61">
        <f t="shared" ca="1" si="6"/>
        <v>2.3376338197630357E-2</v>
      </c>
      <c r="V56" s="56"/>
      <c r="W56" s="86"/>
      <c r="X56"/>
      <c r="Y56"/>
      <c r="Z56"/>
    </row>
    <row r="57" spans="1:26" ht="15.75" x14ac:dyDescent="0.25">
      <c r="A57" s="87"/>
      <c r="B57" s="85"/>
      <c r="C57" s="82"/>
      <c r="D57" s="82"/>
      <c r="E57" s="68"/>
      <c r="F57" s="72"/>
      <c r="G57" s="18"/>
      <c r="H57" s="18"/>
      <c r="I57" s="18"/>
      <c r="J57" s="18"/>
      <c r="K57" s="18"/>
      <c r="L57" s="18"/>
      <c r="M57" s="18"/>
      <c r="N57" s="69"/>
      <c r="O57" s="83"/>
      <c r="P57" s="57">
        <v>0.02</v>
      </c>
      <c r="Q57" s="58">
        <f t="shared" si="3"/>
        <v>0.10408080320000002</v>
      </c>
      <c r="R57" s="59">
        <f t="shared" si="7"/>
        <v>11.813664594239999</v>
      </c>
      <c r="S57" s="58">
        <f t="shared" si="4"/>
        <v>3.5150000000000001E-2</v>
      </c>
      <c r="T57" s="58">
        <f t="shared" si="5"/>
        <v>4.4999999999999998E-2</v>
      </c>
      <c r="U57" s="61">
        <f t="shared" ca="1" si="6"/>
        <v>2.3376338197630357E-2</v>
      </c>
      <c r="V57" s="56"/>
      <c r="W57" s="86"/>
      <c r="X57"/>
      <c r="Y57"/>
      <c r="Z57"/>
    </row>
    <row r="58" spans="1:26" ht="15.75" x14ac:dyDescent="0.25">
      <c r="A58" s="87"/>
      <c r="B58" s="85"/>
      <c r="C58" s="82"/>
      <c r="D58" s="82"/>
      <c r="E58" s="68"/>
      <c r="F58" s="72"/>
      <c r="G58" s="18"/>
      <c r="H58" s="18"/>
      <c r="I58" s="18"/>
      <c r="J58" s="18"/>
      <c r="K58" s="18"/>
      <c r="L58" s="18"/>
      <c r="M58" s="18"/>
      <c r="N58" s="69"/>
      <c r="O58" s="83"/>
      <c r="P58" s="57">
        <v>2.5000000000000001E-2</v>
      </c>
      <c r="Q58" s="58">
        <f t="shared" si="3"/>
        <v>0.13140821289062465</v>
      </c>
      <c r="R58" s="59">
        <f t="shared" si="7"/>
        <v>12.106067877929682</v>
      </c>
      <c r="S58" s="58">
        <f t="shared" si="4"/>
        <v>3.5150000000000001E-2</v>
      </c>
      <c r="T58" s="58">
        <f t="shared" si="5"/>
        <v>0.05</v>
      </c>
      <c r="U58" s="61">
        <f t="shared" ca="1" si="6"/>
        <v>2.3376338197630357E-2</v>
      </c>
      <c r="V58" s="56"/>
      <c r="W58" s="86"/>
      <c r="X58"/>
      <c r="Y58"/>
      <c r="Z58"/>
    </row>
    <row r="59" spans="1:26" ht="15.75" x14ac:dyDescent="0.25">
      <c r="A59" s="87"/>
      <c r="B59" s="85"/>
      <c r="C59" s="82"/>
      <c r="D59" s="82"/>
      <c r="E59" s="68"/>
      <c r="F59" s="72"/>
      <c r="G59" s="18"/>
      <c r="H59" s="18"/>
      <c r="I59" s="18"/>
      <c r="J59" s="18"/>
      <c r="K59" s="18"/>
      <c r="L59" s="18"/>
      <c r="M59" s="18"/>
      <c r="N59" s="69"/>
      <c r="O59" s="83"/>
      <c r="P59" s="57">
        <v>0.03</v>
      </c>
      <c r="Q59" s="58">
        <f t="shared" si="3"/>
        <v>0.15927407429999985</v>
      </c>
      <c r="R59" s="59">
        <f t="shared" si="7"/>
        <v>12.404232595009997</v>
      </c>
      <c r="S59" s="58">
        <f t="shared" si="4"/>
        <v>3.5150000000000001E-2</v>
      </c>
      <c r="T59" s="58">
        <f t="shared" si="5"/>
        <v>5.5E-2</v>
      </c>
      <c r="U59" s="61">
        <f t="shared" ca="1" si="6"/>
        <v>2.3376338197630357E-2</v>
      </c>
      <c r="V59" s="56"/>
      <c r="W59" s="86"/>
      <c r="X59"/>
      <c r="Y59"/>
      <c r="Z59"/>
    </row>
    <row r="60" spans="1:26" ht="15.75" x14ac:dyDescent="0.25">
      <c r="A60" s="87"/>
      <c r="B60" s="85"/>
      <c r="C60" s="82"/>
      <c r="D60" s="82"/>
      <c r="E60" s="68"/>
      <c r="F60" s="72"/>
      <c r="G60" s="18"/>
      <c r="H60" s="18"/>
      <c r="I60" s="18"/>
      <c r="J60" s="18"/>
      <c r="K60" s="18"/>
      <c r="L60" s="18"/>
      <c r="M60" s="18"/>
      <c r="N60" s="69"/>
      <c r="O60" s="83"/>
      <c r="P60" s="57">
        <v>3.5000000000000003E-2</v>
      </c>
      <c r="Q60" s="58">
        <f t="shared" si="3"/>
        <v>0.1876863056468745</v>
      </c>
      <c r="R60" s="59">
        <f t="shared" si="7"/>
        <v>12.708243470421555</v>
      </c>
      <c r="S60" s="58">
        <f t="shared" si="4"/>
        <v>3.5150000000000001E-2</v>
      </c>
      <c r="T60" s="58">
        <f t="shared" si="5"/>
        <v>6.0000000000000005E-2</v>
      </c>
      <c r="U60" s="61">
        <f t="shared" ca="1" si="6"/>
        <v>2.3376338197630357E-2</v>
      </c>
      <c r="V60" s="56"/>
      <c r="W60" s="86"/>
      <c r="X60"/>
      <c r="Y60"/>
      <c r="Z60"/>
    </row>
    <row r="61" spans="1:26" ht="15.75" x14ac:dyDescent="0.25">
      <c r="A61" s="87"/>
      <c r="B61" s="85"/>
      <c r="C61" s="82"/>
      <c r="D61" s="82"/>
      <c r="E61" s="68"/>
      <c r="F61" s="72"/>
      <c r="G61" s="18"/>
      <c r="H61" s="18"/>
      <c r="I61" s="18"/>
      <c r="J61" s="18"/>
      <c r="K61" s="18"/>
      <c r="L61" s="18"/>
      <c r="M61" s="18"/>
      <c r="N61" s="69"/>
      <c r="O61" s="83"/>
      <c r="P61" s="57">
        <v>0.04</v>
      </c>
      <c r="Q61" s="58">
        <f t="shared" si="3"/>
        <v>0.21665290240000035</v>
      </c>
      <c r="R61" s="59">
        <f t="shared" si="7"/>
        <v>13.018186055680003</v>
      </c>
      <c r="S61" s="58">
        <f t="shared" si="4"/>
        <v>3.5150000000000001E-2</v>
      </c>
      <c r="T61" s="58">
        <f t="shared" si="5"/>
        <v>6.5000000000000002E-2</v>
      </c>
      <c r="U61" s="61">
        <f t="shared" ca="1" si="6"/>
        <v>2.3376338197630357E-2</v>
      </c>
      <c r="V61" s="56"/>
      <c r="W61" s="86"/>
      <c r="X61"/>
      <c r="Y61"/>
      <c r="Z61"/>
    </row>
    <row r="62" spans="1:26" ht="15.75" x14ac:dyDescent="0.25">
      <c r="A62" s="87"/>
      <c r="B62" s="85"/>
      <c r="C62" s="82"/>
      <c r="D62" s="82"/>
      <c r="E62" s="68"/>
      <c r="F62" s="18"/>
      <c r="G62" s="18"/>
      <c r="H62" s="18"/>
      <c r="I62" s="18"/>
      <c r="J62" s="18"/>
      <c r="K62" s="18"/>
      <c r="L62" s="18"/>
      <c r="M62" s="18"/>
      <c r="N62" s="69"/>
      <c r="O62" s="83"/>
      <c r="P62" s="57">
        <v>4.4999999999999998E-2</v>
      </c>
      <c r="Q62" s="58">
        <f t="shared" si="3"/>
        <v>0.24618193765312446</v>
      </c>
      <c r="R62" s="59">
        <f t="shared" si="7"/>
        <v>13.334146732888431</v>
      </c>
      <c r="S62" s="58">
        <f t="shared" si="4"/>
        <v>3.5150000000000001E-2</v>
      </c>
      <c r="T62" s="58">
        <f t="shared" si="5"/>
        <v>7.0000000000000007E-2</v>
      </c>
      <c r="U62" s="61">
        <f t="shared" ca="1" si="6"/>
        <v>2.3376338197630357E-2</v>
      </c>
      <c r="V62" s="56"/>
      <c r="W62" s="86"/>
      <c r="X62"/>
      <c r="Y62"/>
      <c r="Z62"/>
    </row>
    <row r="63" spans="1:26" ht="15.75" x14ac:dyDescent="0.25">
      <c r="A63" s="87"/>
      <c r="B63" s="85"/>
      <c r="C63" s="82"/>
      <c r="D63" s="82"/>
      <c r="E63" s="68"/>
      <c r="F63" s="18"/>
      <c r="G63" s="18"/>
      <c r="H63" s="18"/>
      <c r="I63" s="18"/>
      <c r="J63" s="18"/>
      <c r="K63" s="18"/>
      <c r="L63" s="18"/>
      <c r="M63" s="18"/>
      <c r="N63" s="69"/>
      <c r="O63" s="83"/>
      <c r="P63" s="57">
        <v>0.05</v>
      </c>
      <c r="Q63" s="58">
        <f t="shared" si="3"/>
        <v>0.27628156250000013</v>
      </c>
      <c r="R63" s="59">
        <f t="shared" si="7"/>
        <v>13.65621271875</v>
      </c>
      <c r="S63" s="58">
        <f t="shared" si="4"/>
        <v>3.5150000000000001E-2</v>
      </c>
      <c r="T63" s="58">
        <f t="shared" si="5"/>
        <v>7.5000000000000011E-2</v>
      </c>
      <c r="U63" s="61">
        <f t="shared" ca="1" si="6"/>
        <v>2.3376338197630357E-2</v>
      </c>
      <c r="V63" s="56"/>
      <c r="W63" s="86"/>
      <c r="X63"/>
      <c r="Y63"/>
      <c r="Z63"/>
    </row>
    <row r="64" spans="1:26" ht="15.75" x14ac:dyDescent="0.25">
      <c r="A64" s="87"/>
      <c r="B64" s="85"/>
      <c r="C64" s="82"/>
      <c r="D64" s="82"/>
      <c r="E64" s="68"/>
      <c r="F64" s="18"/>
      <c r="G64" s="18"/>
      <c r="H64" s="18"/>
      <c r="I64" s="18"/>
      <c r="J64" s="18"/>
      <c r="K64" s="18"/>
      <c r="L64" s="18"/>
      <c r="M64" s="18"/>
      <c r="N64" s="69"/>
      <c r="O64" s="83"/>
      <c r="P64" s="57">
        <v>5.5E-2</v>
      </c>
      <c r="Q64" s="58">
        <f t="shared" si="3"/>
        <v>0.30696000640937471</v>
      </c>
      <c r="R64" s="59">
        <f t="shared" si="7"/>
        <v>13.984472068580308</v>
      </c>
      <c r="S64" s="58">
        <f t="shared" si="4"/>
        <v>3.5150000000000001E-2</v>
      </c>
      <c r="T64" s="58">
        <f t="shared" si="5"/>
        <v>0.08</v>
      </c>
      <c r="U64" s="61">
        <f t="shared" ca="1" si="6"/>
        <v>2.3376338197630357E-2</v>
      </c>
      <c r="V64" s="56"/>
      <c r="W64" s="86"/>
      <c r="X64"/>
      <c r="Y64"/>
      <c r="Z64"/>
    </row>
    <row r="65" spans="1:26" ht="15.75" x14ac:dyDescent="0.25">
      <c r="A65" s="87"/>
      <c r="B65" s="85"/>
      <c r="C65" s="82"/>
      <c r="D65" s="82"/>
      <c r="E65" s="68"/>
      <c r="F65" s="18"/>
      <c r="G65" s="18"/>
      <c r="H65" s="18"/>
      <c r="I65" s="18"/>
      <c r="J65" s="18"/>
      <c r="K65" s="18"/>
      <c r="L65" s="18"/>
      <c r="M65" s="18"/>
      <c r="N65" s="69"/>
      <c r="O65" s="83"/>
      <c r="P65" s="57">
        <v>0.06</v>
      </c>
      <c r="Q65" s="58">
        <f t="shared" si="3"/>
        <v>0.33822557760000049</v>
      </c>
      <c r="R65" s="59">
        <f t="shared" si="7"/>
        <v>14.319013680320005</v>
      </c>
      <c r="S65" s="58">
        <f t="shared" si="4"/>
        <v>3.5150000000000001E-2</v>
      </c>
      <c r="T65" s="58">
        <f t="shared" si="5"/>
        <v>8.4999999999999992E-2</v>
      </c>
      <c r="U65" s="61">
        <f t="shared" ca="1" si="6"/>
        <v>2.5364728665699943E-2</v>
      </c>
      <c r="V65" s="56"/>
      <c r="W65" s="86"/>
      <c r="X65"/>
      <c r="Y65"/>
      <c r="Z65"/>
    </row>
    <row r="66" spans="1:26" ht="15.75" x14ac:dyDescent="0.25">
      <c r="A66" s="87"/>
      <c r="B66" s="85"/>
      <c r="C66" s="82"/>
      <c r="D66" s="82"/>
      <c r="E66" s="68"/>
      <c r="F66" s="18"/>
      <c r="G66" s="18"/>
      <c r="H66" s="18"/>
      <c r="I66" s="18"/>
      <c r="J66" s="18"/>
      <c r="K66" s="18"/>
      <c r="L66" s="18"/>
      <c r="M66" s="18"/>
      <c r="N66" s="69"/>
      <c r="O66" s="83"/>
      <c r="P66" s="57">
        <v>6.5000000000000002E-2</v>
      </c>
      <c r="Q66" s="58">
        <f t="shared" si="3"/>
        <v>0.37008666341562457</v>
      </c>
      <c r="R66" s="59">
        <f t="shared" si="7"/>
        <v>14.659927298547181</v>
      </c>
      <c r="S66" s="58">
        <f t="shared" si="4"/>
        <v>3.5150000000000001E-2</v>
      </c>
      <c r="T66" s="58">
        <f t="shared" si="5"/>
        <v>0.09</v>
      </c>
      <c r="U66" s="61">
        <f t="shared" ca="1" si="6"/>
        <v>3.0091088998096538E-2</v>
      </c>
      <c r="V66" s="56"/>
      <c r="W66" s="86"/>
      <c r="X66"/>
      <c r="Y66"/>
      <c r="Z66"/>
    </row>
    <row r="67" spans="1:26" ht="15.75" x14ac:dyDescent="0.25">
      <c r="A67" s="87"/>
      <c r="B67" s="85"/>
      <c r="C67" s="82"/>
      <c r="D67" s="82"/>
      <c r="E67" s="68"/>
      <c r="F67" s="18"/>
      <c r="G67" s="18"/>
      <c r="H67" s="18"/>
      <c r="I67" s="18"/>
      <c r="J67" s="18"/>
      <c r="K67" s="18"/>
      <c r="L67" s="18"/>
      <c r="M67" s="18"/>
      <c r="N67" s="69"/>
      <c r="O67" s="83"/>
      <c r="P67" s="57">
        <v>7.0000000000000007E-2</v>
      </c>
      <c r="Q67" s="58">
        <f t="shared" si="3"/>
        <v>0.40255173070000017</v>
      </c>
      <c r="R67" s="59">
        <f t="shared" si="7"/>
        <v>15.007303518490001</v>
      </c>
      <c r="S67" s="58">
        <f t="shared" si="4"/>
        <v>3.5150000000000001E-2</v>
      </c>
      <c r="T67" s="58">
        <f t="shared" si="5"/>
        <v>9.5000000000000001E-2</v>
      </c>
      <c r="U67" s="61">
        <f t="shared" ca="1" si="6"/>
        <v>3.4817449330493133E-2</v>
      </c>
      <c r="V67" s="56"/>
      <c r="W67" s="86"/>
      <c r="X67"/>
      <c r="Y67"/>
      <c r="Z67"/>
    </row>
    <row r="68" spans="1:26" ht="15.75" x14ac:dyDescent="0.25">
      <c r="A68" s="87"/>
      <c r="B68" s="85"/>
      <c r="C68" s="82"/>
      <c r="D68" s="82"/>
      <c r="E68" s="68"/>
      <c r="F68" s="18"/>
      <c r="G68" s="18"/>
      <c r="H68" s="18"/>
      <c r="I68" s="18"/>
      <c r="J68" s="18"/>
      <c r="K68" s="18"/>
      <c r="L68" s="18"/>
      <c r="M68" s="18"/>
      <c r="N68" s="69"/>
      <c r="O68" s="83"/>
      <c r="P68" s="57">
        <v>7.4999999999999997E-2</v>
      </c>
      <c r="Q68" s="58">
        <f t="shared" si="3"/>
        <v>0.43562932617187489</v>
      </c>
      <c r="R68" s="59">
        <f t="shared" si="7"/>
        <v>15.36123379003906</v>
      </c>
      <c r="S68" s="58">
        <f t="shared" si="4"/>
        <v>3.5150000000000001E-2</v>
      </c>
      <c r="T68" s="58">
        <f t="shared" si="5"/>
        <v>0.1</v>
      </c>
      <c r="U68" s="61">
        <f t="shared" ca="1" si="6"/>
        <v>3.9543809662889728E-2</v>
      </c>
      <c r="V68" s="56"/>
      <c r="W68" s="86"/>
      <c r="X68"/>
      <c r="Y68"/>
      <c r="Z68"/>
    </row>
    <row r="69" spans="1:26" ht="15.75" x14ac:dyDescent="0.25">
      <c r="A69" s="87"/>
      <c r="B69" s="85"/>
      <c r="C69" s="82"/>
      <c r="D69" s="82"/>
      <c r="E69" s="68"/>
      <c r="F69" s="18"/>
      <c r="G69" s="18"/>
      <c r="H69" s="18"/>
      <c r="I69" s="18"/>
      <c r="J69" s="18"/>
      <c r="K69" s="18"/>
      <c r="L69" s="18"/>
      <c r="M69" s="18"/>
      <c r="N69" s="69"/>
      <c r="O69" s="83"/>
      <c r="P69" s="57">
        <v>0.08</v>
      </c>
      <c r="Q69" s="58">
        <f t="shared" si="3"/>
        <v>0.46932807680000033</v>
      </c>
      <c r="R69" s="59">
        <f t="shared" si="7"/>
        <v>15.721810421760003</v>
      </c>
      <c r="S69" s="58">
        <f t="shared" si="4"/>
        <v>3.5150000000000001E-2</v>
      </c>
      <c r="T69" s="58">
        <f t="shared" si="5"/>
        <v>0.10500000000000001</v>
      </c>
      <c r="U69" s="61">
        <f t="shared" ca="1" si="6"/>
        <v>4.4270169995286324E-2</v>
      </c>
      <c r="V69" s="56"/>
      <c r="W69" s="86"/>
      <c r="X69"/>
      <c r="Y69"/>
      <c r="Z69"/>
    </row>
    <row r="70" spans="1:26" ht="15.75" x14ac:dyDescent="0.25">
      <c r="A70" s="87"/>
      <c r="B70" s="85"/>
      <c r="C70" s="82"/>
      <c r="D70" s="82"/>
      <c r="E70" s="68"/>
      <c r="F70" s="18"/>
      <c r="G70" s="18"/>
      <c r="H70" s="18"/>
      <c r="I70" s="18"/>
      <c r="J70" s="18"/>
      <c r="K70" s="18"/>
      <c r="L70" s="18"/>
      <c r="M70" s="18"/>
      <c r="N70" s="69"/>
      <c r="O70" s="83"/>
      <c r="P70" s="57">
        <v>8.5000000000000006E-2</v>
      </c>
      <c r="Q70" s="58">
        <f t="shared" si="3"/>
        <v>0.50365669017812476</v>
      </c>
      <c r="R70" s="59">
        <f t="shared" si="7"/>
        <v>16.089126584905934</v>
      </c>
      <c r="S70" s="58">
        <f t="shared" si="4"/>
        <v>3.5150000000000001E-2</v>
      </c>
      <c r="T70" s="58">
        <f t="shared" si="5"/>
        <v>0.11000000000000001</v>
      </c>
      <c r="U70" s="61">
        <f t="shared" ca="1" si="6"/>
        <v>4.8996530327682697E-2</v>
      </c>
      <c r="V70" s="56"/>
      <c r="W70" s="86"/>
      <c r="X70"/>
      <c r="Y70"/>
      <c r="Z70"/>
    </row>
    <row r="71" spans="1:26" ht="15.75" x14ac:dyDescent="0.25">
      <c r="A71" s="87"/>
      <c r="B71" s="85"/>
      <c r="C71" s="82"/>
      <c r="D71" s="82"/>
      <c r="E71" s="68"/>
      <c r="F71" s="18"/>
      <c r="G71" s="18"/>
      <c r="H71" s="18"/>
      <c r="I71" s="18"/>
      <c r="J71" s="18"/>
      <c r="K71" s="18"/>
      <c r="L71" s="18"/>
      <c r="M71" s="18"/>
      <c r="N71" s="69"/>
      <c r="O71" s="83"/>
      <c r="P71" s="57">
        <v>0.09</v>
      </c>
      <c r="Q71" s="58">
        <f t="shared" si="3"/>
        <v>0.53862395490000048</v>
      </c>
      <c r="R71" s="59">
        <f t="shared" si="7"/>
        <v>16.463276317430005</v>
      </c>
      <c r="S71" s="58">
        <f t="shared" si="4"/>
        <v>3.5150000000000001E-2</v>
      </c>
      <c r="T71" s="58">
        <f t="shared" si="5"/>
        <v>0.11499999999999999</v>
      </c>
      <c r="U71" s="61">
        <f t="shared" ca="1" si="6"/>
        <v>5.3722890660079292E-2</v>
      </c>
      <c r="V71" s="56"/>
      <c r="W71" s="86"/>
      <c r="X71"/>
      <c r="Y71"/>
      <c r="Z71"/>
    </row>
    <row r="72" spans="1:26" ht="15.75" x14ac:dyDescent="0.25">
      <c r="A72" s="87"/>
      <c r="B72" s="85"/>
      <c r="C72" s="82"/>
      <c r="D72" s="82"/>
      <c r="E72" s="68"/>
      <c r="F72" s="18"/>
      <c r="G72" s="18"/>
      <c r="H72" s="18"/>
      <c r="I72" s="18"/>
      <c r="J72" s="18"/>
      <c r="K72" s="18"/>
      <c r="L72" s="18"/>
      <c r="M72" s="18"/>
      <c r="N72" s="69"/>
      <c r="O72" s="83"/>
      <c r="P72" s="57">
        <v>9.5000000000000001E-2</v>
      </c>
      <c r="Q72" s="58">
        <f t="shared" si="3"/>
        <v>0.57423874093437499</v>
      </c>
      <c r="R72" s="59">
        <f t="shared" si="7"/>
        <v>16.844354527997812</v>
      </c>
      <c r="S72" s="58">
        <f t="shared" si="4"/>
        <v>3.5150000000000001E-2</v>
      </c>
      <c r="T72" s="58">
        <f t="shared" si="5"/>
        <v>0.12</v>
      </c>
      <c r="U72" s="61">
        <f t="shared" ca="1" si="6"/>
        <v>5.8449250992475887E-2</v>
      </c>
      <c r="V72" s="56"/>
      <c r="W72" s="86"/>
      <c r="X72"/>
      <c r="Y72"/>
      <c r="Z72"/>
    </row>
    <row r="73" spans="1:26" ht="15.75" x14ac:dyDescent="0.25">
      <c r="A73" s="87"/>
      <c r="B73" s="85"/>
      <c r="C73" s="82"/>
      <c r="D73" s="82"/>
      <c r="E73" s="68"/>
      <c r="F73" s="18"/>
      <c r="G73" s="18"/>
      <c r="H73" s="18"/>
      <c r="I73" s="18"/>
      <c r="J73" s="18"/>
      <c r="K73" s="18"/>
      <c r="L73" s="18"/>
      <c r="M73" s="18"/>
      <c r="N73" s="69"/>
      <c r="O73" s="83"/>
      <c r="P73" s="57">
        <v>0.1</v>
      </c>
      <c r="Q73" s="58">
        <f t="shared" si="3"/>
        <v>0.61051000000000055</v>
      </c>
      <c r="R73" s="59">
        <f t="shared" si="7"/>
        <v>17.232457000000004</v>
      </c>
      <c r="S73" s="58">
        <f t="shared" si="4"/>
        <v>3.5150000000000001E-2</v>
      </c>
      <c r="T73" s="58">
        <f t="shared" si="5"/>
        <v>0.125</v>
      </c>
      <c r="U73" s="61">
        <f t="shared" ca="1" si="6"/>
        <v>6.3175611324872483E-2</v>
      </c>
      <c r="V73" s="56"/>
      <c r="W73" s="86"/>
      <c r="X73"/>
      <c r="Y73"/>
      <c r="Z73"/>
    </row>
    <row r="74" spans="1:26" x14ac:dyDescent="0.25">
      <c r="A74" s="87"/>
      <c r="B74" s="85"/>
      <c r="C74" s="82"/>
      <c r="D74" s="82"/>
      <c r="E74" s="68"/>
      <c r="F74" s="18"/>
      <c r="G74" s="18"/>
      <c r="H74" s="18"/>
      <c r="I74" s="18"/>
      <c r="J74" s="18"/>
      <c r="K74" s="18"/>
      <c r="L74" s="18"/>
      <c r="M74" s="18"/>
      <c r="N74" s="69"/>
      <c r="O74" s="55"/>
      <c r="P74" s="55"/>
      <c r="Q74" s="55"/>
      <c r="R74" s="93"/>
      <c r="S74" s="55"/>
      <c r="T74" s="55"/>
      <c r="U74" s="55"/>
      <c r="V74" s="56"/>
      <c r="W74" s="86"/>
      <c r="X74"/>
      <c r="Y74"/>
      <c r="Z74"/>
    </row>
    <row r="75" spans="1:26" x14ac:dyDescent="0.25">
      <c r="A75" s="87"/>
      <c r="B75" s="85"/>
      <c r="C75" s="82"/>
      <c r="D75" s="82"/>
      <c r="E75" s="68"/>
      <c r="F75" s="18"/>
      <c r="G75" s="18"/>
      <c r="H75" s="18"/>
      <c r="I75" s="18"/>
      <c r="J75" s="18"/>
      <c r="K75" s="18"/>
      <c r="L75" s="18"/>
      <c r="M75" s="18"/>
      <c r="N75" s="69"/>
      <c r="O75" s="55"/>
      <c r="P75" s="55"/>
      <c r="Q75" s="55"/>
      <c r="R75" s="93"/>
      <c r="S75" s="55"/>
      <c r="T75" s="55"/>
      <c r="U75" s="55"/>
      <c r="V75" s="56"/>
      <c r="W75" s="86"/>
      <c r="X75"/>
      <c r="Y75"/>
      <c r="Z75"/>
    </row>
    <row r="76" spans="1:26" x14ac:dyDescent="0.25">
      <c r="A76" s="87"/>
      <c r="B76" s="85"/>
      <c r="C76" s="82"/>
      <c r="D76" s="82"/>
      <c r="E76" s="68"/>
      <c r="F76" s="18"/>
      <c r="G76" s="18"/>
      <c r="H76" s="18"/>
      <c r="I76" s="18"/>
      <c r="J76" s="18"/>
      <c r="K76" s="18"/>
      <c r="L76" s="18"/>
      <c r="M76" s="18"/>
      <c r="N76" s="69"/>
      <c r="O76" s="55"/>
      <c r="P76" s="55"/>
      <c r="Q76" s="55"/>
      <c r="R76" s="93"/>
      <c r="S76" s="55"/>
      <c r="T76" s="55"/>
      <c r="U76" s="55"/>
      <c r="V76" s="56"/>
      <c r="W76" s="86"/>
      <c r="X76"/>
      <c r="Y76"/>
      <c r="Z76"/>
    </row>
    <row r="77" spans="1:26" x14ac:dyDescent="0.25">
      <c r="A77" s="87"/>
      <c r="B77" s="85"/>
      <c r="C77" s="82"/>
      <c r="D77" s="82"/>
      <c r="E77" s="68"/>
      <c r="F77" s="18"/>
      <c r="G77" s="18"/>
      <c r="H77" s="18"/>
      <c r="I77" s="18"/>
      <c r="J77" s="18"/>
      <c r="K77" s="18"/>
      <c r="L77" s="18"/>
      <c r="M77" s="18"/>
      <c r="N77" s="69"/>
      <c r="O77" s="55"/>
      <c r="P77" s="55"/>
      <c r="Q77" s="55"/>
      <c r="R77" s="93"/>
      <c r="S77" s="55"/>
      <c r="T77" s="55"/>
      <c r="U77" s="55"/>
      <c r="V77" s="56"/>
      <c r="W77" s="86"/>
      <c r="X77"/>
      <c r="Y77"/>
      <c r="Z77"/>
    </row>
    <row r="78" spans="1:26" x14ac:dyDescent="0.25">
      <c r="A78" s="87"/>
      <c r="B78" s="85"/>
      <c r="C78" s="82"/>
      <c r="D78" s="82"/>
      <c r="E78" s="68"/>
      <c r="F78" s="18"/>
      <c r="G78" s="18"/>
      <c r="H78" s="18"/>
      <c r="I78" s="18"/>
      <c r="J78" s="18"/>
      <c r="K78" s="18"/>
      <c r="L78" s="18"/>
      <c r="M78" s="18"/>
      <c r="N78" s="69"/>
      <c r="O78" s="55"/>
      <c r="P78" s="55"/>
      <c r="Q78" s="55"/>
      <c r="R78" s="93"/>
      <c r="S78" s="55"/>
      <c r="T78" s="55"/>
      <c r="U78" s="55"/>
      <c r="V78" s="56"/>
      <c r="W78" s="86"/>
      <c r="X78"/>
      <c r="Y78"/>
      <c r="Z78"/>
    </row>
    <row r="79" spans="1:26" x14ac:dyDescent="0.25">
      <c r="A79" s="87"/>
      <c r="B79" s="85"/>
      <c r="C79" s="82"/>
      <c r="D79" s="82"/>
      <c r="E79" s="68"/>
      <c r="F79" s="18"/>
      <c r="G79" s="18"/>
      <c r="H79" s="18"/>
      <c r="I79" s="18"/>
      <c r="J79" s="18"/>
      <c r="K79" s="18"/>
      <c r="L79" s="18"/>
      <c r="M79" s="18"/>
      <c r="N79" s="69"/>
      <c r="O79" s="55"/>
      <c r="P79" s="55"/>
      <c r="Q79" s="55"/>
      <c r="R79" s="93"/>
      <c r="S79" s="55"/>
      <c r="T79" s="55"/>
      <c r="U79" s="55"/>
      <c r="V79" s="56"/>
      <c r="W79" s="86"/>
      <c r="X79"/>
      <c r="Y79"/>
      <c r="Z79"/>
    </row>
    <row r="80" spans="1:26" x14ac:dyDescent="0.25">
      <c r="A80" s="87"/>
      <c r="B80" s="85"/>
      <c r="C80" s="82"/>
      <c r="D80" s="82"/>
      <c r="E80" s="68"/>
      <c r="F80" s="18"/>
      <c r="G80" s="18"/>
      <c r="H80" s="18"/>
      <c r="I80" s="18"/>
      <c r="J80" s="18"/>
      <c r="K80" s="18"/>
      <c r="L80" s="18"/>
      <c r="M80" s="18"/>
      <c r="N80" s="69"/>
      <c r="O80" s="55"/>
      <c r="P80" s="55"/>
      <c r="Q80" s="55"/>
      <c r="R80" s="93"/>
      <c r="S80" s="55"/>
      <c r="T80" s="55"/>
      <c r="U80" s="55"/>
      <c r="V80" s="56"/>
      <c r="W80" s="86"/>
    </row>
    <row r="81" spans="1:23" x14ac:dyDescent="0.25">
      <c r="A81" s="87"/>
      <c r="B81" s="85"/>
      <c r="C81" s="82"/>
      <c r="D81" s="82"/>
      <c r="E81" s="68"/>
      <c r="F81" s="18"/>
      <c r="G81" s="18"/>
      <c r="H81" s="18"/>
      <c r="I81" s="18"/>
      <c r="J81" s="18"/>
      <c r="K81" s="18"/>
      <c r="L81" s="18"/>
      <c r="M81" s="18"/>
      <c r="N81" s="69"/>
      <c r="O81" s="55"/>
      <c r="P81" s="55"/>
      <c r="Q81" s="55"/>
      <c r="R81" s="93"/>
      <c r="S81" s="55"/>
      <c r="T81" s="55"/>
      <c r="U81" s="55"/>
      <c r="V81" s="56"/>
      <c r="W81" s="86"/>
    </row>
    <row r="82" spans="1:23" x14ac:dyDescent="0.25">
      <c r="A82" s="87"/>
      <c r="B82" s="85"/>
      <c r="C82" s="82"/>
      <c r="D82" s="82"/>
      <c r="E82" s="68"/>
      <c r="F82" s="18"/>
      <c r="G82" s="18"/>
      <c r="H82" s="18"/>
      <c r="I82" s="18"/>
      <c r="J82" s="18"/>
      <c r="K82" s="18"/>
      <c r="L82" s="18"/>
      <c r="M82" s="18"/>
      <c r="N82" s="69"/>
      <c r="O82" s="55"/>
      <c r="P82" s="55"/>
      <c r="Q82" s="55"/>
      <c r="R82" s="93"/>
      <c r="S82" s="55"/>
      <c r="T82" s="55"/>
      <c r="U82" s="55"/>
      <c r="V82" s="56"/>
      <c r="W82" s="86"/>
    </row>
    <row r="83" spans="1:23" x14ac:dyDescent="0.25">
      <c r="A83" s="87"/>
      <c r="B83" s="85"/>
      <c r="C83" s="82"/>
      <c r="D83" s="82"/>
      <c r="E83" s="68"/>
      <c r="F83" s="18"/>
      <c r="G83" s="18"/>
      <c r="H83" s="18"/>
      <c r="I83" s="18"/>
      <c r="J83" s="18"/>
      <c r="K83" s="18"/>
      <c r="L83" s="18"/>
      <c r="M83" s="18"/>
      <c r="N83" s="69"/>
      <c r="O83" s="55"/>
      <c r="P83" s="55"/>
      <c r="Q83" s="55"/>
      <c r="R83" s="93"/>
      <c r="S83" s="55"/>
      <c r="T83" s="55"/>
      <c r="U83" s="55"/>
      <c r="V83" s="56"/>
      <c r="W83" s="86"/>
    </row>
    <row r="84" spans="1:23" x14ac:dyDescent="0.25">
      <c r="A84" s="87"/>
      <c r="B84" s="85"/>
      <c r="C84" s="82"/>
      <c r="D84" s="82"/>
      <c r="E84" s="68"/>
      <c r="F84" s="18"/>
      <c r="G84" s="18"/>
      <c r="H84" s="18"/>
      <c r="I84" s="18"/>
      <c r="J84" s="18"/>
      <c r="K84" s="18"/>
      <c r="L84" s="18"/>
      <c r="M84" s="18"/>
      <c r="N84" s="69"/>
      <c r="O84" s="55"/>
      <c r="P84" s="55"/>
      <c r="Q84" s="55"/>
      <c r="R84" s="93"/>
      <c r="S84" s="55"/>
      <c r="T84" s="55"/>
      <c r="U84" s="55"/>
      <c r="V84" s="56"/>
      <c r="W84" s="86"/>
    </row>
    <row r="85" spans="1:23" x14ac:dyDescent="0.25">
      <c r="A85" s="87"/>
      <c r="B85" s="85"/>
      <c r="C85" s="82"/>
      <c r="D85" s="82"/>
      <c r="E85" s="68"/>
      <c r="F85" s="18"/>
      <c r="G85" s="18"/>
      <c r="H85" s="18"/>
      <c r="I85" s="18"/>
      <c r="J85" s="18"/>
      <c r="K85" s="18"/>
      <c r="L85" s="18"/>
      <c r="M85" s="18"/>
      <c r="N85" s="69"/>
      <c r="O85" s="55"/>
      <c r="P85" s="55"/>
      <c r="Q85" s="55"/>
      <c r="R85" s="93"/>
      <c r="S85" s="55"/>
      <c r="T85" s="55"/>
      <c r="U85" s="55"/>
      <c r="V85" s="56"/>
      <c r="W85" s="86"/>
    </row>
    <row r="86" spans="1:23" x14ac:dyDescent="0.25">
      <c r="A86" s="87"/>
      <c r="B86" s="85"/>
      <c r="C86" s="82"/>
      <c r="D86" s="82"/>
      <c r="E86" s="68"/>
      <c r="F86" s="18"/>
      <c r="G86" s="18"/>
      <c r="H86" s="18"/>
      <c r="I86" s="18"/>
      <c r="J86" s="18"/>
      <c r="K86" s="18"/>
      <c r="L86" s="18"/>
      <c r="M86" s="18"/>
      <c r="N86" s="69"/>
      <c r="O86" s="55"/>
      <c r="P86" s="55"/>
      <c r="Q86" s="55"/>
      <c r="R86" s="93"/>
      <c r="S86" s="55"/>
      <c r="T86" s="55"/>
      <c r="U86" s="55"/>
      <c r="V86" s="56"/>
      <c r="W86" s="86"/>
    </row>
    <row r="87" spans="1:23" x14ac:dyDescent="0.25">
      <c r="A87" s="87"/>
      <c r="B87" s="85"/>
      <c r="C87" s="82"/>
      <c r="D87" s="82"/>
      <c r="E87" s="68"/>
      <c r="F87" s="18"/>
      <c r="G87" s="18"/>
      <c r="H87" s="18"/>
      <c r="I87" s="18"/>
      <c r="J87" s="18"/>
      <c r="K87" s="18"/>
      <c r="L87" s="18"/>
      <c r="M87" s="18"/>
      <c r="N87" s="69"/>
      <c r="O87" s="55"/>
      <c r="P87" s="55"/>
      <c r="Q87" s="55"/>
      <c r="R87" s="93"/>
      <c r="S87" s="55"/>
      <c r="T87" s="55"/>
      <c r="U87" s="55"/>
      <c r="V87" s="56"/>
      <c r="W87" s="86"/>
    </row>
    <row r="88" spans="1:23" x14ac:dyDescent="0.25">
      <c r="A88" s="87"/>
      <c r="B88" s="85"/>
      <c r="C88" s="82"/>
      <c r="D88" s="82"/>
      <c r="E88" s="68"/>
      <c r="F88" s="18"/>
      <c r="G88" s="18"/>
      <c r="H88" s="18"/>
      <c r="I88" s="18"/>
      <c r="J88" s="18"/>
      <c r="K88" s="18"/>
      <c r="L88" s="18"/>
      <c r="M88" s="18"/>
      <c r="N88" s="69"/>
      <c r="O88" s="55"/>
      <c r="P88" s="55"/>
      <c r="Q88" s="55"/>
      <c r="R88" s="93"/>
      <c r="S88" s="55"/>
      <c r="T88" s="55"/>
      <c r="U88" s="55"/>
      <c r="V88" s="56"/>
      <c r="W88" s="86"/>
    </row>
    <row r="89" spans="1:23" x14ac:dyDescent="0.25">
      <c r="A89" s="87"/>
      <c r="B89" s="85"/>
      <c r="C89" s="82"/>
      <c r="D89" s="82"/>
      <c r="E89" s="68"/>
      <c r="F89" s="18"/>
      <c r="G89" s="18"/>
      <c r="H89" s="18"/>
      <c r="I89" s="18"/>
      <c r="J89" s="18"/>
      <c r="K89" s="18"/>
      <c r="L89" s="18"/>
      <c r="M89" s="18"/>
      <c r="N89" s="69"/>
      <c r="O89" s="55"/>
      <c r="P89" s="55"/>
      <c r="Q89" s="55"/>
      <c r="R89" s="93"/>
      <c r="S89" s="55"/>
      <c r="T89" s="55"/>
      <c r="U89" s="55"/>
      <c r="V89" s="56"/>
      <c r="W89" s="86"/>
    </row>
    <row r="90" spans="1:23" x14ac:dyDescent="0.25">
      <c r="A90" s="87"/>
      <c r="B90" s="85"/>
      <c r="C90" s="82"/>
      <c r="D90" s="82"/>
      <c r="E90" s="68"/>
      <c r="F90" s="18"/>
      <c r="G90" s="18"/>
      <c r="H90" s="18"/>
      <c r="I90" s="18"/>
      <c r="J90" s="18"/>
      <c r="K90" s="18"/>
      <c r="L90" s="18"/>
      <c r="M90" s="18"/>
      <c r="N90" s="69"/>
      <c r="O90" s="55"/>
      <c r="P90" s="55"/>
      <c r="Q90" s="55"/>
      <c r="R90" s="93"/>
      <c r="S90" s="55"/>
      <c r="T90" s="55"/>
      <c r="U90" s="55"/>
      <c r="V90" s="56"/>
      <c r="W90" s="86"/>
    </row>
    <row r="91" spans="1:23" x14ac:dyDescent="0.25">
      <c r="A91" s="87"/>
      <c r="B91" s="85"/>
      <c r="C91" s="82"/>
      <c r="D91" s="82"/>
      <c r="E91" s="68"/>
      <c r="F91" s="18"/>
      <c r="G91" s="18"/>
      <c r="H91" s="18"/>
      <c r="I91" s="18"/>
      <c r="J91" s="18"/>
      <c r="K91" s="18"/>
      <c r="L91" s="18"/>
      <c r="M91" s="18"/>
      <c r="N91" s="69"/>
      <c r="O91" s="55"/>
      <c r="P91" s="55"/>
      <c r="Q91" s="55"/>
      <c r="R91" s="93"/>
      <c r="S91" s="55"/>
      <c r="T91" s="55"/>
      <c r="U91" s="55"/>
      <c r="V91" s="56"/>
      <c r="W91" s="86"/>
    </row>
    <row r="92" spans="1:23" x14ac:dyDescent="0.25">
      <c r="A92" s="87"/>
      <c r="B92" s="85"/>
      <c r="C92" s="82"/>
      <c r="D92" s="82"/>
      <c r="E92" s="68"/>
      <c r="F92" s="18"/>
      <c r="G92" s="18"/>
      <c r="H92" s="18"/>
      <c r="I92" s="18"/>
      <c r="J92" s="18"/>
      <c r="K92" s="18"/>
      <c r="L92" s="18"/>
      <c r="M92" s="18"/>
      <c r="N92" s="69"/>
      <c r="O92" s="55"/>
      <c r="P92" s="55"/>
      <c r="Q92" s="55"/>
      <c r="R92" s="93"/>
      <c r="S92" s="55"/>
      <c r="T92" s="55"/>
      <c r="U92" s="55"/>
      <c r="V92" s="56"/>
      <c r="W92" s="86"/>
    </row>
    <row r="93" spans="1:23" x14ac:dyDescent="0.25">
      <c r="A93" s="87"/>
      <c r="B93" s="85"/>
      <c r="C93" s="82"/>
      <c r="D93" s="82"/>
      <c r="E93" s="68"/>
      <c r="F93" s="18"/>
      <c r="G93" s="18"/>
      <c r="H93" s="18"/>
      <c r="I93" s="18"/>
      <c r="J93" s="18"/>
      <c r="K93" s="18"/>
      <c r="L93" s="18"/>
      <c r="M93" s="18"/>
      <c r="N93" s="69"/>
      <c r="O93" s="55"/>
      <c r="P93" s="55"/>
      <c r="Q93" s="55"/>
      <c r="R93" s="93"/>
      <c r="S93" s="55"/>
      <c r="T93" s="55"/>
      <c r="U93" s="55"/>
      <c r="V93" s="56"/>
      <c r="W93" s="86"/>
    </row>
    <row r="94" spans="1:23" x14ac:dyDescent="0.25">
      <c r="A94" s="87"/>
      <c r="B94" s="85"/>
      <c r="C94" s="82"/>
      <c r="D94" s="82"/>
      <c r="E94" s="68"/>
      <c r="F94" s="18"/>
      <c r="G94" s="18"/>
      <c r="H94" s="18"/>
      <c r="I94" s="18"/>
      <c r="J94" s="18"/>
      <c r="K94" s="18"/>
      <c r="L94" s="18"/>
      <c r="M94" s="18"/>
      <c r="N94" s="69"/>
      <c r="O94" s="55"/>
      <c r="P94" s="55"/>
      <c r="Q94" s="55"/>
      <c r="R94" s="93"/>
      <c r="S94" s="55"/>
      <c r="T94" s="55"/>
      <c r="U94" s="55"/>
      <c r="V94" s="56"/>
      <c r="W94" s="86"/>
    </row>
    <row r="95" spans="1:23" x14ac:dyDescent="0.25">
      <c r="A95" s="87"/>
      <c r="B95" s="85"/>
      <c r="C95" s="82"/>
      <c r="D95" s="82"/>
      <c r="E95" s="68"/>
      <c r="F95" s="18"/>
      <c r="G95" s="18"/>
      <c r="H95" s="18"/>
      <c r="I95" s="18"/>
      <c r="J95" s="18"/>
      <c r="K95" s="18"/>
      <c r="L95" s="18"/>
      <c r="M95" s="18"/>
      <c r="N95" s="69"/>
      <c r="O95" s="55"/>
      <c r="P95" s="55"/>
      <c r="Q95" s="55"/>
      <c r="R95" s="93"/>
      <c r="S95" s="55"/>
      <c r="T95" s="55"/>
      <c r="U95" s="55"/>
      <c r="V95" s="56"/>
      <c r="W95" s="86"/>
    </row>
    <row r="96" spans="1:23" x14ac:dyDescent="0.25">
      <c r="A96" s="87"/>
      <c r="B96" s="85"/>
      <c r="C96" s="82"/>
      <c r="D96" s="82"/>
      <c r="E96" s="68"/>
      <c r="F96" s="18"/>
      <c r="G96" s="18"/>
      <c r="H96" s="18"/>
      <c r="I96" s="18"/>
      <c r="J96" s="18"/>
      <c r="K96" s="18"/>
      <c r="L96" s="18"/>
      <c r="M96" s="18"/>
      <c r="N96" s="69"/>
      <c r="O96" s="55"/>
      <c r="P96" s="55"/>
      <c r="Q96" s="55"/>
      <c r="R96" s="93"/>
      <c r="S96" s="55"/>
      <c r="T96" s="55"/>
      <c r="U96" s="55"/>
      <c r="V96" s="56"/>
      <c r="W96" s="86"/>
    </row>
    <row r="97" spans="1:23" x14ac:dyDescent="0.25">
      <c r="A97" s="87"/>
      <c r="B97" s="85"/>
      <c r="C97" s="82"/>
      <c r="D97" s="82"/>
      <c r="E97" s="68"/>
      <c r="F97" s="18"/>
      <c r="G97" s="18"/>
      <c r="H97" s="18"/>
      <c r="I97" s="18"/>
      <c r="J97" s="18"/>
      <c r="K97" s="18"/>
      <c r="L97" s="18"/>
      <c r="M97" s="18"/>
      <c r="N97" s="69"/>
      <c r="O97" s="55"/>
      <c r="P97" s="55"/>
      <c r="Q97" s="55"/>
      <c r="R97" s="93"/>
      <c r="S97" s="55"/>
      <c r="T97" s="55"/>
      <c r="U97" s="55"/>
      <c r="V97" s="56"/>
      <c r="W97" s="86"/>
    </row>
    <row r="98" spans="1:23" x14ac:dyDescent="0.25">
      <c r="A98" s="87"/>
      <c r="B98" s="85"/>
      <c r="C98" s="82"/>
      <c r="D98" s="82"/>
      <c r="E98" s="68"/>
      <c r="F98" s="18"/>
      <c r="G98" s="18"/>
      <c r="H98" s="18"/>
      <c r="I98" s="18"/>
      <c r="J98" s="18"/>
      <c r="K98" s="18"/>
      <c r="L98" s="18"/>
      <c r="M98" s="18"/>
      <c r="N98" s="69"/>
      <c r="O98" s="55"/>
      <c r="P98" s="55"/>
      <c r="Q98" s="55"/>
      <c r="R98" s="93"/>
      <c r="S98" s="55"/>
      <c r="T98" s="55"/>
      <c r="U98" s="55"/>
      <c r="V98" s="56"/>
      <c r="W98" s="86"/>
    </row>
    <row r="99" spans="1:23" x14ac:dyDescent="0.25">
      <c r="A99" s="87"/>
      <c r="B99" s="85"/>
      <c r="C99" s="82"/>
      <c r="D99" s="82"/>
      <c r="E99" s="68"/>
      <c r="F99" s="18"/>
      <c r="G99" s="18"/>
      <c r="H99" s="18"/>
      <c r="I99" s="18"/>
      <c r="J99" s="18"/>
      <c r="K99" s="18"/>
      <c r="L99" s="18"/>
      <c r="M99" s="18"/>
      <c r="N99" s="69"/>
      <c r="O99" s="55"/>
      <c r="P99" s="55"/>
      <c r="Q99" s="55"/>
      <c r="R99" s="93"/>
      <c r="S99" s="55"/>
      <c r="T99" s="55"/>
      <c r="U99" s="55"/>
      <c r="V99" s="56"/>
      <c r="W99" s="86"/>
    </row>
    <row r="100" spans="1:23" x14ac:dyDescent="0.25">
      <c r="A100" s="87"/>
      <c r="B100" s="85"/>
      <c r="C100" s="82"/>
      <c r="D100" s="82"/>
      <c r="E100" s="68"/>
      <c r="F100" s="18"/>
      <c r="G100" s="18"/>
      <c r="H100" s="18"/>
      <c r="I100" s="18"/>
      <c r="J100" s="18"/>
      <c r="K100" s="18"/>
      <c r="L100" s="18"/>
      <c r="M100" s="18"/>
      <c r="N100" s="69"/>
      <c r="O100" s="55"/>
      <c r="P100" s="55"/>
      <c r="Q100" s="55"/>
      <c r="R100" s="93"/>
      <c r="S100" s="55"/>
      <c r="T100" s="55"/>
      <c r="U100" s="55"/>
      <c r="V100" s="55"/>
      <c r="W100" s="86"/>
    </row>
    <row r="101" spans="1:23" ht="15.75" thickBot="1" x14ac:dyDescent="0.3">
      <c r="A101" s="87"/>
      <c r="B101" s="85"/>
      <c r="C101" s="82"/>
      <c r="D101" s="82"/>
      <c r="E101" s="68"/>
      <c r="F101" s="18"/>
      <c r="G101" s="18"/>
      <c r="H101" s="18"/>
      <c r="I101" s="18"/>
      <c r="J101" s="18"/>
      <c r="K101" s="18"/>
      <c r="L101" s="18"/>
      <c r="M101" s="18"/>
      <c r="N101" s="69"/>
      <c r="O101" s="55"/>
      <c r="P101" s="83"/>
      <c r="Q101" s="83"/>
      <c r="R101" s="83"/>
      <c r="S101" s="83"/>
      <c r="T101" s="83"/>
      <c r="U101" s="83"/>
      <c r="V101" s="55"/>
      <c r="W101" s="86"/>
    </row>
    <row r="102" spans="1:23" ht="21.75" thickBot="1" x14ac:dyDescent="0.4">
      <c r="A102" s="87"/>
      <c r="B102" s="85"/>
      <c r="C102" s="82"/>
      <c r="D102" s="82"/>
      <c r="E102" s="68"/>
      <c r="F102" s="18"/>
      <c r="G102" s="18"/>
      <c r="H102" s="18"/>
      <c r="I102" s="18"/>
      <c r="J102" s="18"/>
      <c r="K102" s="18"/>
      <c r="L102" s="18"/>
      <c r="M102" s="18"/>
      <c r="N102" s="69"/>
      <c r="O102" s="55"/>
      <c r="P102" s="110" t="str">
        <f>"Example #3. coupon sensitivity to credit spread. Dividends ~"&amp;AVERAGE($C$35:$C$53)*100&amp;"%"</f>
        <v>Example #3. coupon sensitivity to credit spread. Dividends ~2.5%</v>
      </c>
      <c r="Q102" s="111"/>
      <c r="R102" s="111"/>
      <c r="S102" s="112"/>
      <c r="T102" s="112"/>
      <c r="U102" s="112"/>
      <c r="V102" s="113"/>
      <c r="W102" s="86"/>
    </row>
    <row r="103" spans="1:23" ht="15.75" thickBot="1" x14ac:dyDescent="0.3">
      <c r="A103" s="87"/>
      <c r="B103" s="85"/>
      <c r="C103" s="82"/>
      <c r="D103" s="82"/>
      <c r="E103" s="68"/>
      <c r="F103" s="18"/>
      <c r="G103" s="18"/>
      <c r="H103" s="18"/>
      <c r="I103" s="18"/>
      <c r="J103" s="18"/>
      <c r="K103" s="18"/>
      <c r="L103" s="18"/>
      <c r="M103" s="18"/>
      <c r="N103" s="69"/>
      <c r="O103" s="55"/>
      <c r="P103" s="63" t="s">
        <v>19</v>
      </c>
      <c r="Q103" s="64" t="s">
        <v>69</v>
      </c>
      <c r="R103" s="83"/>
      <c r="S103" s="83"/>
      <c r="T103" s="83"/>
      <c r="U103" s="83"/>
      <c r="V103" s="55"/>
      <c r="W103" s="86"/>
    </row>
    <row r="104" spans="1:23" ht="15.75" x14ac:dyDescent="0.25">
      <c r="A104" s="87"/>
      <c r="B104" s="85"/>
      <c r="C104" s="82"/>
      <c r="D104" s="82"/>
      <c r="E104" s="68"/>
      <c r="F104" s="18"/>
      <c r="G104" s="18"/>
      <c r="H104" s="18"/>
      <c r="I104" s="18"/>
      <c r="J104" s="18"/>
      <c r="K104" s="18"/>
      <c r="L104" s="18"/>
      <c r="M104" s="18"/>
      <c r="N104" s="69"/>
      <c r="O104" s="55"/>
      <c r="P104" s="57">
        <v>1.4999999999999999E-2</v>
      </c>
      <c r="Q104" s="58">
        <f ca="1">_xll.CBcoupon($B$4,$B$5,$B$6,$P104,$B$8,$B$10,$B$11,$B$35:$C$39,$B$13,$B$14,$B$15,$B$16,$B$17,$B$18,$B$19:$B$25,$B$26)</f>
        <v>1.049094266644013E-2</v>
      </c>
      <c r="R104" s="83"/>
      <c r="S104" s="83"/>
      <c r="T104" s="83"/>
      <c r="U104" s="83"/>
      <c r="V104" s="55"/>
      <c r="W104" s="86"/>
    </row>
    <row r="105" spans="1:23" ht="15.75" x14ac:dyDescent="0.25">
      <c r="A105" s="87"/>
      <c r="B105" s="85"/>
      <c r="C105" s="82"/>
      <c r="D105" s="82"/>
      <c r="E105" s="68"/>
      <c r="F105" s="18"/>
      <c r="G105" s="18"/>
      <c r="H105" s="18"/>
      <c r="I105" s="18"/>
      <c r="J105" s="18"/>
      <c r="K105" s="18"/>
      <c r="L105" s="18"/>
      <c r="M105" s="18"/>
      <c r="N105" s="69"/>
      <c r="O105" s="55"/>
      <c r="P105" s="57">
        <v>1.7500000000000002E-2</v>
      </c>
      <c r="Q105" s="58">
        <f ca="1">_xll.CBcoupon($B$4,$B$5,$B$6,$P105,$B$8,$B$10,$B$11,$B$35:$C$39,$B$13,$B$14,$B$15,$B$16,$B$17,$B$18,$B$19:$B$25,$B$26)</f>
        <v>1.2642927297707808E-2</v>
      </c>
      <c r="R105" s="83"/>
      <c r="S105" s="83"/>
      <c r="T105" s="83"/>
      <c r="U105" s="83"/>
      <c r="V105" s="55"/>
      <c r="W105" s="86"/>
    </row>
    <row r="106" spans="1:23" ht="15.75" x14ac:dyDescent="0.25">
      <c r="A106" s="87"/>
      <c r="B106" s="85"/>
      <c r="C106" s="82"/>
      <c r="D106" s="82"/>
      <c r="E106" s="68"/>
      <c r="F106" s="18"/>
      <c r="G106" s="18"/>
      <c r="H106" s="18"/>
      <c r="I106" s="18"/>
      <c r="J106" s="18"/>
      <c r="K106" s="18"/>
      <c r="L106" s="18"/>
      <c r="M106" s="18"/>
      <c r="N106" s="69"/>
      <c r="O106" s="55"/>
      <c r="P106" s="57">
        <v>0.02</v>
      </c>
      <c r="Q106" s="58">
        <f ca="1">_xll.CBcoupon($B$4,$B$5,$B$6,$P106,$B$8,$B$10,$B$11,$B$35:$C$39,$B$13,$B$14,$B$15,$B$16,$B$17,$B$18,$B$19:$B$25,$B$26)</f>
        <v>1.4782399850754102E-2</v>
      </c>
      <c r="R106" s="83"/>
      <c r="S106" s="83"/>
      <c r="T106" s="83"/>
      <c r="U106" s="83"/>
      <c r="V106" s="55"/>
      <c r="W106" s="86"/>
    </row>
    <row r="107" spans="1:23" ht="15.75" x14ac:dyDescent="0.25">
      <c r="A107" s="87"/>
      <c r="B107" s="85"/>
      <c r="C107" s="82"/>
      <c r="D107" s="82"/>
      <c r="E107" s="68"/>
      <c r="F107" s="18"/>
      <c r="G107" s="18"/>
      <c r="H107" s="18"/>
      <c r="I107" s="18"/>
      <c r="J107" s="18"/>
      <c r="K107" s="18"/>
      <c r="L107" s="18"/>
      <c r="M107" s="18"/>
      <c r="N107" s="69"/>
      <c r="O107" s="55"/>
      <c r="P107" s="57">
        <v>2.2499999999999999E-2</v>
      </c>
      <c r="Q107" s="58">
        <f ca="1">_xll.CBcoupon($B$4,$B$5,$B$6,$P107,$B$8,$B$10,$B$11,$B$35:$C$39,$B$13,$B$14,$B$15,$B$16,$B$17,$B$18,$B$19:$B$25,$B$26)</f>
        <v>1.6917803161951114E-2</v>
      </c>
      <c r="R107" s="83"/>
      <c r="S107" s="83"/>
      <c r="T107" s="83"/>
      <c r="U107" s="83"/>
      <c r="V107" s="55"/>
      <c r="W107" s="86"/>
    </row>
    <row r="108" spans="1:23" ht="15.75" x14ac:dyDescent="0.25">
      <c r="A108" s="87"/>
      <c r="B108" s="85"/>
      <c r="C108" s="82"/>
      <c r="D108" s="82"/>
      <c r="E108" s="68"/>
      <c r="F108" s="18"/>
      <c r="G108" s="18"/>
      <c r="H108" s="18"/>
      <c r="I108" s="18"/>
      <c r="J108" s="18"/>
      <c r="K108" s="18"/>
      <c r="L108" s="18"/>
      <c r="M108" s="18"/>
      <c r="N108" s="69"/>
      <c r="O108" s="55"/>
      <c r="P108" s="57">
        <v>2.5000000000000001E-2</v>
      </c>
      <c r="Q108" s="58">
        <f ca="1">_xll.CBcoupon($B$4,$B$5,$B$6,$P108,$B$8,$B$10,$B$11,$B$35:$C$39,$B$13,$B$14,$B$15,$B$16,$B$17,$B$18,$B$19:$B$25,$B$26)</f>
        <v>1.9046849595485808E-2</v>
      </c>
      <c r="R108" s="83"/>
      <c r="S108" s="83"/>
      <c r="T108" s="83"/>
      <c r="U108" s="83"/>
      <c r="V108" s="55"/>
      <c r="W108" s="86"/>
    </row>
    <row r="109" spans="1:23" ht="15.75" x14ac:dyDescent="0.25">
      <c r="A109" s="87"/>
      <c r="B109" s="85"/>
      <c r="C109" s="82"/>
      <c r="D109" s="82"/>
      <c r="E109" s="68"/>
      <c r="F109" s="18"/>
      <c r="G109" s="18"/>
      <c r="H109" s="18"/>
      <c r="I109" s="18"/>
      <c r="J109" s="18"/>
      <c r="K109" s="18"/>
      <c r="L109" s="18"/>
      <c r="M109" s="18"/>
      <c r="N109" s="69"/>
      <c r="O109" s="55"/>
      <c r="P109" s="57">
        <v>2.75E-2</v>
      </c>
      <c r="Q109" s="58">
        <f ca="1">_xll.CBcoupon($B$4,$B$5,$B$6,$P109,$B$8,$B$10,$B$11,$B$35:$C$39,$B$13,$B$14,$B$15,$B$16,$B$17,$B$18,$B$19:$B$25,$B$26)</f>
        <v>2.1171396047891304E-2</v>
      </c>
      <c r="R109" s="83"/>
      <c r="S109" s="83"/>
      <c r="T109" s="83"/>
      <c r="U109" s="83"/>
      <c r="V109" s="55"/>
      <c r="W109" s="86"/>
    </row>
    <row r="110" spans="1:23" ht="15.75" x14ac:dyDescent="0.25">
      <c r="A110" s="87"/>
      <c r="B110" s="85"/>
      <c r="C110" s="82"/>
      <c r="D110" s="82"/>
      <c r="E110" s="68"/>
      <c r="F110" s="18"/>
      <c r="G110" s="18"/>
      <c r="H110" s="18"/>
      <c r="I110" s="18"/>
      <c r="J110" s="18"/>
      <c r="K110" s="18"/>
      <c r="L110" s="18"/>
      <c r="M110" s="18"/>
      <c r="N110" s="69"/>
      <c r="O110" s="55"/>
      <c r="P110" s="57">
        <v>0.03</v>
      </c>
      <c r="Q110" s="58">
        <f ca="1">_xll.CBcoupon($B$4,$B$5,$B$6,$P110,$B$8,$B$10,$B$11,$B$35:$C$39,$B$13,$B$14,$B$15,$B$16,$B$17,$B$18,$B$19:$B$25,$B$26)</f>
        <v>2.3291750513473836E-2</v>
      </c>
      <c r="R110" s="83"/>
      <c r="S110" s="83"/>
      <c r="T110" s="83"/>
      <c r="U110" s="83"/>
      <c r="V110" s="55"/>
      <c r="W110" s="86"/>
    </row>
    <row r="111" spans="1:23" ht="15.75" x14ac:dyDescent="0.25">
      <c r="A111" s="87"/>
      <c r="B111" s="85"/>
      <c r="C111" s="82"/>
      <c r="D111" s="82"/>
      <c r="E111" s="68"/>
      <c r="F111" s="18"/>
      <c r="G111" s="18"/>
      <c r="H111" s="18"/>
      <c r="I111" s="18"/>
      <c r="J111" s="18"/>
      <c r="K111" s="18"/>
      <c r="L111" s="18"/>
      <c r="M111" s="18"/>
      <c r="N111" s="69"/>
      <c r="O111" s="55"/>
      <c r="P111" s="57">
        <v>3.2500000000000001E-2</v>
      </c>
      <c r="Q111" s="58">
        <f ca="1">_xll.CBcoupon($B$4,$B$5,$B$6,$P111,$B$8,$B$10,$B$11,$B$35:$C$39,$B$13,$B$14,$B$15,$B$16,$B$17,$B$18,$B$19:$B$25,$B$26)</f>
        <v>2.5404096770327719E-2</v>
      </c>
      <c r="R111" s="83"/>
      <c r="S111" s="83"/>
      <c r="T111" s="83"/>
      <c r="U111" s="83"/>
      <c r="V111" s="55"/>
      <c r="W111" s="86"/>
    </row>
    <row r="112" spans="1:23" ht="15.75" x14ac:dyDescent="0.25">
      <c r="A112" s="87"/>
      <c r="B112" s="85"/>
      <c r="C112" s="82"/>
      <c r="D112" s="82"/>
      <c r="E112" s="68"/>
      <c r="F112" s="18"/>
      <c r="G112" s="18"/>
      <c r="H112" s="18"/>
      <c r="I112" s="18"/>
      <c r="J112" s="18"/>
      <c r="K112" s="18"/>
      <c r="L112" s="18"/>
      <c r="M112" s="18"/>
      <c r="N112" s="69"/>
      <c r="O112" s="55"/>
      <c r="P112" s="57">
        <v>3.5000000000000003E-2</v>
      </c>
      <c r="Q112" s="58">
        <f ca="1">_xll.CBcoupon($B$4,$B$5,$B$6,$P112,$B$8,$B$10,$B$11,$B$35:$C$39,$B$13,$B$14,$B$15,$B$16,$B$17,$B$18,$B$19:$B$25,$B$26)</f>
        <v>2.7510017880497045E-2</v>
      </c>
      <c r="R112" s="83"/>
      <c r="S112" s="83"/>
      <c r="T112" s="83"/>
      <c r="U112" s="83"/>
      <c r="V112" s="55"/>
      <c r="W112" s="86"/>
    </row>
    <row r="113" spans="1:23" ht="15.75" x14ac:dyDescent="0.25">
      <c r="A113" s="87"/>
      <c r="B113" s="85"/>
      <c r="C113" s="82"/>
      <c r="D113" s="82"/>
      <c r="E113" s="68"/>
      <c r="F113" s="18"/>
      <c r="G113" s="18"/>
      <c r="H113" s="18"/>
      <c r="I113" s="18"/>
      <c r="J113" s="18"/>
      <c r="K113" s="18"/>
      <c r="L113" s="18"/>
      <c r="M113" s="18"/>
      <c r="N113" s="69"/>
      <c r="O113" s="55"/>
      <c r="P113" s="57">
        <v>3.7499999999999999E-2</v>
      </c>
      <c r="Q113" s="58">
        <f ca="1">_xll.CBcoupon($B$4,$B$5,$B$6,$P113,$B$8,$B$10,$B$11,$B$35:$C$39,$B$13,$B$14,$B$15,$B$16,$B$17,$B$18,$B$19:$B$25,$B$26)</f>
        <v>2.9608957866172542E-2</v>
      </c>
      <c r="R113" s="83"/>
      <c r="S113" s="83"/>
      <c r="T113" s="83"/>
      <c r="U113" s="83"/>
      <c r="V113" s="55"/>
      <c r="W113" s="86"/>
    </row>
    <row r="114" spans="1:23" ht="15.75" x14ac:dyDescent="0.25">
      <c r="A114" s="87"/>
      <c r="B114" s="85"/>
      <c r="C114" s="82"/>
      <c r="D114" s="82"/>
      <c r="E114" s="68"/>
      <c r="F114" s="18"/>
      <c r="G114" s="18"/>
      <c r="H114" s="18"/>
      <c r="I114" s="18"/>
      <c r="J114" s="18"/>
      <c r="K114" s="18"/>
      <c r="L114" s="18"/>
      <c r="M114" s="18"/>
      <c r="N114" s="69"/>
      <c r="O114" s="55"/>
      <c r="P114" s="57">
        <v>0.04</v>
      </c>
      <c r="Q114" s="58">
        <f ca="1">_xll.CBcoupon($B$4,$B$5,$B$6,$P114,$B$8,$B$10,$B$11,$B$35:$C$39,$B$13,$B$14,$B$15,$B$16,$B$17,$B$18,$B$19:$B$25,$B$26)</f>
        <v>3.1701569953479967E-2</v>
      </c>
      <c r="R114" s="83"/>
      <c r="S114" s="83"/>
      <c r="T114" s="83"/>
      <c r="U114" s="83"/>
      <c r="V114" s="55"/>
      <c r="W114" s="86"/>
    </row>
    <row r="115" spans="1:23" ht="15.75" x14ac:dyDescent="0.25">
      <c r="A115" s="87"/>
      <c r="B115" s="85"/>
      <c r="C115" s="82"/>
      <c r="D115" s="82"/>
      <c r="E115" s="68"/>
      <c r="F115" s="18"/>
      <c r="G115" s="18"/>
      <c r="H115" s="18"/>
      <c r="I115" s="18"/>
      <c r="J115" s="18"/>
      <c r="K115" s="18"/>
      <c r="L115" s="18"/>
      <c r="M115" s="18"/>
      <c r="N115" s="69"/>
      <c r="O115" s="55"/>
      <c r="P115" s="57">
        <v>4.2500000000000003E-2</v>
      </c>
      <c r="Q115" s="58">
        <f ca="1">_xll.CBcoupon($B$4,$B$5,$B$6,$P115,$B$8,$B$10,$B$11,$B$35:$C$39,$B$13,$B$14,$B$15,$B$16,$B$17,$B$18,$B$19:$B$25,$B$26)</f>
        <v>3.378942652440324E-2</v>
      </c>
      <c r="R115" s="83"/>
      <c r="S115" s="83"/>
      <c r="T115" s="83"/>
      <c r="U115" s="83"/>
      <c r="V115" s="55"/>
      <c r="W115" s="86"/>
    </row>
    <row r="116" spans="1:23" ht="15.75" x14ac:dyDescent="0.25">
      <c r="A116" s="87"/>
      <c r="B116" s="85"/>
      <c r="C116" s="82"/>
      <c r="D116" s="82"/>
      <c r="E116" s="68"/>
      <c r="F116" s="18"/>
      <c r="G116" s="18"/>
      <c r="H116" s="18"/>
      <c r="I116" s="18"/>
      <c r="J116" s="18"/>
      <c r="K116" s="18"/>
      <c r="L116" s="18"/>
      <c r="M116" s="18"/>
      <c r="N116" s="69"/>
      <c r="O116" s="55"/>
      <c r="P116" s="57">
        <v>4.4999999999999998E-2</v>
      </c>
      <c r="Q116" s="58">
        <f ca="1">_xll.CBcoupon($B$4,$B$5,$B$6,$P116,$B$8,$B$10,$B$11,$B$35:$C$39,$B$13,$B$14,$B$15,$B$16,$B$17,$B$18,$B$19:$B$25,$B$26)</f>
        <v>3.5871896207943545E-2</v>
      </c>
      <c r="R116" s="83"/>
      <c r="S116" s="83"/>
      <c r="T116" s="83"/>
      <c r="U116" s="83"/>
      <c r="V116" s="55"/>
      <c r="W116" s="86"/>
    </row>
    <row r="117" spans="1:23" ht="15.75" x14ac:dyDescent="0.25">
      <c r="A117" s="87"/>
      <c r="B117" s="85"/>
      <c r="C117" s="82"/>
      <c r="D117" s="82"/>
      <c r="E117" s="68"/>
      <c r="F117" s="18"/>
      <c r="G117" s="18"/>
      <c r="H117" s="18"/>
      <c r="I117" s="18"/>
      <c r="J117" s="18"/>
      <c r="K117" s="18"/>
      <c r="L117" s="18"/>
      <c r="M117" s="18"/>
      <c r="N117" s="69"/>
      <c r="O117" s="55"/>
      <c r="P117" s="57">
        <v>4.7500000000000001E-2</v>
      </c>
      <c r="Q117" s="58">
        <f ca="1">_xll.CBcoupon($B$4,$B$5,$B$6,$P117,$B$8,$B$10,$B$11,$B$35:$C$39,$B$13,$B$14,$B$15,$B$16,$B$17,$B$18,$B$19:$B$25,$B$26)</f>
        <v>3.7951743472425109E-2</v>
      </c>
      <c r="R117" s="83"/>
      <c r="S117" s="83"/>
      <c r="T117" s="83"/>
      <c r="U117" s="83"/>
      <c r="V117" s="55"/>
      <c r="W117" s="86"/>
    </row>
    <row r="118" spans="1:23" ht="15.75" x14ac:dyDescent="0.25">
      <c r="A118" s="87"/>
      <c r="B118" s="85"/>
      <c r="C118" s="82"/>
      <c r="D118" s="82"/>
      <c r="E118" s="68"/>
      <c r="F118" s="18"/>
      <c r="G118" s="18"/>
      <c r="H118" s="18"/>
      <c r="I118" s="18"/>
      <c r="J118" s="18"/>
      <c r="K118" s="18"/>
      <c r="L118" s="18"/>
      <c r="M118" s="18"/>
      <c r="N118" s="69"/>
      <c r="O118" s="55"/>
      <c r="P118" s="57">
        <v>0.05</v>
      </c>
      <c r="Q118" s="58">
        <f ca="1">_xll.CBcoupon($B$4,$B$5,$B$6,$P118,$B$8,$B$10,$B$11,$B$35:$C$39,$B$13,$B$14,$B$15,$B$16,$B$17,$B$18,$B$19:$B$25,$B$26)</f>
        <v>4.0028429369467752E-2</v>
      </c>
      <c r="R118" s="83"/>
      <c r="S118" s="83"/>
      <c r="T118" s="83"/>
      <c r="U118" s="83"/>
      <c r="V118" s="55"/>
      <c r="W118" s="86"/>
    </row>
    <row r="119" spans="1:23" ht="15.75" x14ac:dyDescent="0.25">
      <c r="A119" s="87"/>
      <c r="B119" s="85"/>
      <c r="C119" s="82"/>
      <c r="D119" s="82"/>
      <c r="E119" s="68"/>
      <c r="F119" s="18"/>
      <c r="G119" s="18"/>
      <c r="H119" s="18"/>
      <c r="I119" s="18"/>
      <c r="J119" s="18"/>
      <c r="K119" s="18"/>
      <c r="L119" s="18"/>
      <c r="M119" s="18"/>
      <c r="N119" s="69"/>
      <c r="O119" s="55"/>
      <c r="P119" s="57">
        <v>5.2499999999999998E-2</v>
      </c>
      <c r="Q119" s="58">
        <f ca="1">_xll.CBcoupon($B$4,$B$5,$B$6,$P119,$B$8,$B$10,$B$11,$B$35:$C$39,$B$13,$B$14,$B$15,$B$16,$B$17,$B$18,$B$19:$B$25,$B$26)</f>
        <v>4.2102938880939106E-2</v>
      </c>
      <c r="R119" s="83"/>
      <c r="S119" s="83"/>
      <c r="T119" s="83"/>
      <c r="U119" s="83"/>
      <c r="V119" s="55"/>
      <c r="W119" s="86"/>
    </row>
    <row r="120" spans="1:23" ht="15.75" x14ac:dyDescent="0.25">
      <c r="A120" s="87"/>
      <c r="B120" s="85"/>
      <c r="C120" s="82"/>
      <c r="D120" s="82"/>
      <c r="E120" s="68"/>
      <c r="F120" s="18"/>
      <c r="G120" s="18"/>
      <c r="H120" s="18"/>
      <c r="I120" s="18"/>
      <c r="J120" s="18"/>
      <c r="K120" s="18"/>
      <c r="L120" s="18"/>
      <c r="M120" s="18"/>
      <c r="N120" s="69"/>
      <c r="O120" s="55"/>
      <c r="P120" s="57">
        <v>5.5E-2</v>
      </c>
      <c r="Q120" s="58">
        <f ca="1">_xll.CBcoupon($B$4,$B$5,$B$6,$P120,$B$8,$B$10,$B$11,$B$35:$C$39,$B$13,$B$14,$B$15,$B$16,$B$17,$B$18,$B$19:$B$25,$B$26)</f>
        <v>4.4174803535013012E-2</v>
      </c>
      <c r="R120" s="83"/>
      <c r="S120" s="83"/>
      <c r="T120" s="83"/>
      <c r="U120" s="83"/>
      <c r="V120" s="55"/>
      <c r="W120" s="86"/>
    </row>
    <row r="121" spans="1:23" x14ac:dyDescent="0.25">
      <c r="A121" s="87"/>
      <c r="B121" s="85"/>
      <c r="C121" s="82"/>
      <c r="D121" s="82"/>
      <c r="E121" s="68"/>
      <c r="F121" s="18"/>
      <c r="G121" s="18"/>
      <c r="H121" s="18"/>
      <c r="I121" s="18"/>
      <c r="J121" s="18"/>
      <c r="K121" s="18"/>
      <c r="L121" s="18"/>
      <c r="M121" s="18"/>
      <c r="N121" s="69"/>
      <c r="O121" s="55"/>
      <c r="P121" s="83"/>
      <c r="Q121" s="83"/>
      <c r="R121" s="83"/>
      <c r="S121" s="83"/>
      <c r="T121" s="83"/>
      <c r="U121" s="83"/>
      <c r="V121" s="55"/>
      <c r="W121" s="86"/>
    </row>
    <row r="122" spans="1:23" x14ac:dyDescent="0.25">
      <c r="A122" s="87"/>
      <c r="B122" s="85"/>
      <c r="C122" s="82"/>
      <c r="D122" s="82"/>
      <c r="E122" s="68"/>
      <c r="F122" s="18"/>
      <c r="G122" s="18"/>
      <c r="H122" s="18"/>
      <c r="I122" s="18"/>
      <c r="J122" s="18"/>
      <c r="K122" s="18"/>
      <c r="L122" s="18"/>
      <c r="M122" s="18"/>
      <c r="N122" s="69"/>
      <c r="O122" s="55"/>
      <c r="P122" s="83"/>
      <c r="Q122" s="83"/>
      <c r="R122" s="83"/>
      <c r="S122" s="83"/>
      <c r="T122" s="83"/>
      <c r="U122" s="83"/>
      <c r="V122" s="55"/>
      <c r="W122" s="86"/>
    </row>
    <row r="123" spans="1:23" x14ac:dyDescent="0.25">
      <c r="A123" s="87"/>
      <c r="B123" s="85"/>
      <c r="C123" s="82"/>
      <c r="D123" s="82"/>
      <c r="E123" s="68"/>
      <c r="F123" s="18"/>
      <c r="G123" s="18"/>
      <c r="H123" s="18"/>
      <c r="I123" s="18"/>
      <c r="J123" s="18"/>
      <c r="K123" s="18"/>
      <c r="L123" s="18"/>
      <c r="M123" s="18"/>
      <c r="N123" s="69"/>
      <c r="O123" s="55"/>
      <c r="P123" s="83"/>
      <c r="Q123" s="83"/>
      <c r="R123" s="83"/>
      <c r="S123" s="83"/>
      <c r="T123" s="83"/>
      <c r="U123" s="83"/>
      <c r="V123" s="55"/>
      <c r="W123" s="86"/>
    </row>
    <row r="124" spans="1:23" x14ac:dyDescent="0.25">
      <c r="A124" s="87"/>
      <c r="B124" s="85"/>
      <c r="C124" s="82"/>
      <c r="D124" s="82"/>
      <c r="E124" s="68"/>
      <c r="F124" s="18"/>
      <c r="G124" s="18"/>
      <c r="H124" s="18"/>
      <c r="I124" s="18"/>
      <c r="J124" s="18"/>
      <c r="K124" s="18"/>
      <c r="L124" s="18"/>
      <c r="M124" s="18"/>
      <c r="N124" s="69"/>
      <c r="O124" s="55"/>
      <c r="P124" s="83"/>
      <c r="Q124" s="83"/>
      <c r="R124" s="83"/>
      <c r="S124" s="83"/>
      <c r="T124" s="83"/>
      <c r="U124" s="83"/>
      <c r="V124" s="55"/>
      <c r="W124" s="86"/>
    </row>
    <row r="125" spans="1:23" x14ac:dyDescent="0.25">
      <c r="A125" s="87"/>
      <c r="B125" s="85"/>
      <c r="C125" s="82"/>
      <c r="D125" s="82"/>
      <c r="E125" s="68"/>
      <c r="F125" s="18"/>
      <c r="G125" s="18"/>
      <c r="H125" s="18"/>
      <c r="I125" s="18"/>
      <c r="J125" s="18"/>
      <c r="K125" s="18"/>
      <c r="L125" s="18"/>
      <c r="M125" s="18"/>
      <c r="N125" s="69"/>
      <c r="O125" s="55"/>
      <c r="P125" s="55"/>
      <c r="Q125" s="55"/>
      <c r="R125" s="55"/>
      <c r="S125" s="55"/>
      <c r="T125" s="55"/>
      <c r="U125" s="55"/>
      <c r="V125" s="55"/>
      <c r="W125" s="86"/>
    </row>
    <row r="126" spans="1:23" x14ac:dyDescent="0.25">
      <c r="A126" s="87"/>
      <c r="B126" s="85"/>
      <c r="C126" s="82"/>
      <c r="D126" s="82"/>
      <c r="E126" s="68"/>
      <c r="F126" s="18"/>
      <c r="G126" s="18"/>
      <c r="H126" s="18"/>
      <c r="I126" s="18"/>
      <c r="J126" s="18"/>
      <c r="K126" s="18"/>
      <c r="L126" s="18"/>
      <c r="M126" s="18"/>
      <c r="N126" s="69"/>
      <c r="O126" s="55"/>
      <c r="P126" s="55"/>
      <c r="Q126" s="55"/>
      <c r="R126" s="55"/>
      <c r="S126" s="55"/>
      <c r="T126" s="55"/>
      <c r="U126" s="55"/>
      <c r="V126" s="55"/>
      <c r="W126" s="86"/>
    </row>
    <row r="127" spans="1:23" x14ac:dyDescent="0.25">
      <c r="A127" s="87"/>
      <c r="B127" s="85"/>
      <c r="C127" s="82"/>
      <c r="D127" s="82"/>
      <c r="E127" s="68"/>
      <c r="F127" s="18"/>
      <c r="G127" s="18"/>
      <c r="H127" s="18"/>
      <c r="I127" s="18"/>
      <c r="J127" s="18"/>
      <c r="K127" s="18"/>
      <c r="L127" s="18"/>
      <c r="M127" s="18"/>
      <c r="N127" s="69"/>
      <c r="O127" s="55"/>
      <c r="P127" s="55"/>
      <c r="Q127" s="55"/>
      <c r="R127" s="55"/>
      <c r="S127" s="55"/>
      <c r="T127" s="55"/>
      <c r="U127" s="55"/>
      <c r="V127" s="55"/>
      <c r="W127" s="86"/>
    </row>
    <row r="128" spans="1:23" x14ac:dyDescent="0.25">
      <c r="A128" s="87"/>
      <c r="B128" s="85"/>
      <c r="C128" s="82"/>
      <c r="D128" s="82"/>
      <c r="E128" s="68"/>
      <c r="F128" s="18"/>
      <c r="G128" s="18"/>
      <c r="H128" s="18"/>
      <c r="I128" s="18"/>
      <c r="J128" s="18"/>
      <c r="K128" s="18"/>
      <c r="L128" s="18"/>
      <c r="M128" s="18"/>
      <c r="N128" s="69"/>
      <c r="O128" s="55"/>
      <c r="P128" s="55"/>
      <c r="Q128" s="55"/>
      <c r="R128" s="55"/>
      <c r="S128" s="55"/>
      <c r="T128" s="55"/>
      <c r="U128" s="55"/>
      <c r="V128" s="55"/>
      <c r="W128" s="86"/>
    </row>
    <row r="129" spans="1:23" x14ac:dyDescent="0.25">
      <c r="A129" s="87"/>
      <c r="B129" s="85"/>
      <c r="C129" s="82"/>
      <c r="D129" s="82"/>
      <c r="E129" s="68"/>
      <c r="F129" s="18"/>
      <c r="G129" s="18"/>
      <c r="H129" s="18"/>
      <c r="I129" s="18"/>
      <c r="J129" s="18"/>
      <c r="K129" s="18"/>
      <c r="L129" s="18"/>
      <c r="M129" s="18"/>
      <c r="N129" s="69"/>
      <c r="O129" s="55"/>
      <c r="P129" s="55"/>
      <c r="Q129" s="55"/>
      <c r="R129" s="55"/>
      <c r="S129" s="55"/>
      <c r="T129" s="55"/>
      <c r="U129" s="55"/>
      <c r="V129" s="55"/>
      <c r="W129" s="86"/>
    </row>
    <row r="130" spans="1:23" x14ac:dyDescent="0.25">
      <c r="A130" s="87"/>
      <c r="B130" s="85"/>
      <c r="C130" s="82"/>
      <c r="D130" s="82"/>
      <c r="E130" s="68"/>
      <c r="F130" s="18"/>
      <c r="G130" s="18"/>
      <c r="H130" s="18"/>
      <c r="I130" s="18"/>
      <c r="J130" s="18"/>
      <c r="K130" s="18"/>
      <c r="L130" s="18"/>
      <c r="M130" s="18"/>
      <c r="N130" s="69"/>
      <c r="O130" s="55"/>
      <c r="P130" s="55"/>
      <c r="Q130" s="55"/>
      <c r="R130" s="55"/>
      <c r="S130" s="55"/>
      <c r="T130" s="55"/>
      <c r="U130" s="55"/>
      <c r="V130" s="55"/>
      <c r="W130" s="86"/>
    </row>
    <row r="131" spans="1:23" x14ac:dyDescent="0.25">
      <c r="A131" s="87"/>
      <c r="B131" s="85"/>
      <c r="C131" s="82"/>
      <c r="D131" s="82"/>
      <c r="E131" s="68"/>
      <c r="F131" s="18"/>
      <c r="G131" s="18"/>
      <c r="H131" s="18"/>
      <c r="I131" s="18"/>
      <c r="J131" s="18"/>
      <c r="K131" s="18"/>
      <c r="L131" s="18"/>
      <c r="M131" s="18"/>
      <c r="N131" s="69"/>
      <c r="O131" s="55"/>
      <c r="P131" s="55"/>
      <c r="Q131" s="55"/>
      <c r="R131" s="55"/>
      <c r="S131" s="55"/>
      <c r="T131" s="55"/>
      <c r="U131" s="55"/>
      <c r="V131" s="55"/>
      <c r="W131" s="86"/>
    </row>
    <row r="132" spans="1:23" x14ac:dyDescent="0.25">
      <c r="A132" s="87"/>
      <c r="B132" s="85"/>
      <c r="C132" s="82"/>
      <c r="D132" s="82"/>
      <c r="E132" s="68"/>
      <c r="F132" s="18"/>
      <c r="G132" s="18"/>
      <c r="H132" s="18"/>
      <c r="I132" s="18"/>
      <c r="J132" s="18"/>
      <c r="K132" s="18"/>
      <c r="L132" s="18"/>
      <c r="M132" s="18"/>
      <c r="N132" s="69"/>
      <c r="O132" s="55"/>
      <c r="P132" s="55"/>
      <c r="Q132" s="55"/>
      <c r="R132" s="55"/>
      <c r="S132" s="55"/>
      <c r="T132" s="55"/>
      <c r="U132" s="55"/>
      <c r="V132" s="55"/>
      <c r="W132" s="86"/>
    </row>
    <row r="133" spans="1:23" x14ac:dyDescent="0.25">
      <c r="A133" s="87"/>
      <c r="B133" s="85"/>
      <c r="C133" s="82"/>
      <c r="D133" s="82"/>
      <c r="E133" s="68"/>
      <c r="F133" s="18"/>
      <c r="G133" s="18"/>
      <c r="H133" s="18"/>
      <c r="I133" s="18"/>
      <c r="J133" s="18"/>
      <c r="K133" s="18"/>
      <c r="L133" s="18"/>
      <c r="M133" s="18"/>
      <c r="N133" s="69"/>
      <c r="O133" s="55"/>
      <c r="P133" s="55"/>
      <c r="Q133" s="55"/>
      <c r="R133" s="55"/>
      <c r="S133" s="55"/>
      <c r="T133" s="55"/>
      <c r="U133" s="55"/>
      <c r="V133" s="55"/>
      <c r="W133" s="86"/>
    </row>
    <row r="134" spans="1:23" x14ac:dyDescent="0.25">
      <c r="A134" s="87"/>
      <c r="B134" s="85"/>
      <c r="C134" s="82"/>
      <c r="D134" s="82"/>
      <c r="E134" s="68"/>
      <c r="F134" s="18"/>
      <c r="G134" s="18"/>
      <c r="H134" s="18"/>
      <c r="I134" s="18"/>
      <c r="J134" s="18"/>
      <c r="K134" s="18"/>
      <c r="L134" s="18"/>
      <c r="M134" s="18"/>
      <c r="N134" s="69"/>
      <c r="O134" s="55"/>
      <c r="P134" s="55"/>
      <c r="Q134" s="55"/>
      <c r="R134" s="55"/>
      <c r="S134" s="55"/>
      <c r="T134" s="55"/>
      <c r="U134" s="55"/>
      <c r="V134" s="55"/>
      <c r="W134" s="86"/>
    </row>
    <row r="135" spans="1:23" x14ac:dyDescent="0.25">
      <c r="A135" s="87"/>
      <c r="B135" s="85"/>
      <c r="C135" s="82"/>
      <c r="D135" s="82"/>
      <c r="E135" s="68"/>
      <c r="F135" s="18"/>
      <c r="G135" s="18"/>
      <c r="H135" s="18"/>
      <c r="I135" s="18"/>
      <c r="J135" s="18"/>
      <c r="K135" s="18"/>
      <c r="L135" s="18"/>
      <c r="M135" s="18"/>
      <c r="N135" s="69"/>
      <c r="O135" s="55"/>
      <c r="P135" s="55"/>
      <c r="Q135" s="55"/>
      <c r="R135" s="55"/>
      <c r="S135" s="55"/>
      <c r="T135" s="55"/>
      <c r="U135" s="55"/>
      <c r="V135" s="55"/>
      <c r="W135" s="86"/>
    </row>
    <row r="136" spans="1:23" x14ac:dyDescent="0.25">
      <c r="A136" s="87"/>
      <c r="B136" s="85"/>
      <c r="C136" s="82"/>
      <c r="D136" s="82"/>
      <c r="E136" s="68"/>
      <c r="F136" s="18"/>
      <c r="G136" s="18"/>
      <c r="H136" s="18"/>
      <c r="I136" s="18"/>
      <c r="J136" s="18"/>
      <c r="K136" s="18"/>
      <c r="L136" s="18"/>
      <c r="M136" s="18"/>
      <c r="N136" s="69"/>
      <c r="O136" s="55"/>
      <c r="P136" s="55"/>
      <c r="Q136" s="55"/>
      <c r="R136" s="55"/>
      <c r="S136" s="55"/>
      <c r="T136" s="55"/>
      <c r="U136" s="55"/>
      <c r="V136" s="55"/>
      <c r="W136" s="86"/>
    </row>
    <row r="137" spans="1:23" x14ac:dyDescent="0.25">
      <c r="A137" s="87"/>
      <c r="B137" s="85"/>
      <c r="C137" s="82"/>
      <c r="D137" s="82"/>
      <c r="E137" s="68"/>
      <c r="F137" s="18"/>
      <c r="G137" s="18"/>
      <c r="H137" s="18"/>
      <c r="I137" s="18"/>
      <c r="J137" s="18"/>
      <c r="K137" s="18"/>
      <c r="L137" s="18"/>
      <c r="M137" s="18"/>
      <c r="N137" s="69"/>
      <c r="O137" s="55"/>
      <c r="P137" s="55"/>
      <c r="Q137" s="55"/>
      <c r="R137" s="55"/>
      <c r="S137" s="55"/>
      <c r="T137" s="55"/>
      <c r="U137" s="55"/>
      <c r="V137" s="55"/>
      <c r="W137" s="86"/>
    </row>
    <row r="138" spans="1:23" x14ac:dyDescent="0.25">
      <c r="A138" s="87"/>
      <c r="B138" s="85"/>
      <c r="C138" s="82"/>
      <c r="D138" s="82"/>
      <c r="E138" s="68"/>
      <c r="F138" s="18"/>
      <c r="G138" s="18"/>
      <c r="H138" s="18"/>
      <c r="I138" s="18"/>
      <c r="J138" s="18"/>
      <c r="K138" s="18"/>
      <c r="L138" s="18"/>
      <c r="M138" s="18"/>
      <c r="N138" s="69"/>
      <c r="O138" s="55"/>
      <c r="P138" s="55"/>
      <c r="Q138" s="55"/>
      <c r="R138" s="55"/>
      <c r="S138" s="55"/>
      <c r="T138" s="55"/>
      <c r="U138" s="55"/>
      <c r="V138" s="55"/>
      <c r="W138" s="86"/>
    </row>
    <row r="139" spans="1:23" ht="15.75" thickBot="1" x14ac:dyDescent="0.3">
      <c r="A139" s="87"/>
      <c r="B139" s="85"/>
      <c r="C139" s="82"/>
      <c r="D139" s="82"/>
      <c r="E139" s="68"/>
      <c r="F139" s="18"/>
      <c r="G139" s="18"/>
      <c r="H139" s="18"/>
      <c r="I139" s="18"/>
      <c r="J139" s="18"/>
      <c r="K139" s="18"/>
      <c r="L139" s="18"/>
      <c r="M139" s="18"/>
      <c r="N139" s="69"/>
      <c r="O139" s="55"/>
      <c r="P139" s="55"/>
      <c r="Q139" s="55"/>
      <c r="R139" s="55"/>
      <c r="S139" s="55"/>
      <c r="T139" s="55"/>
      <c r="U139" s="55"/>
      <c r="V139" s="55"/>
      <c r="W139" s="86"/>
    </row>
    <row r="140" spans="1:23" ht="21.75" thickBot="1" x14ac:dyDescent="0.4">
      <c r="A140" s="87"/>
      <c r="B140" s="85"/>
      <c r="C140" s="82"/>
      <c r="D140" s="82"/>
      <c r="E140" s="68"/>
      <c r="F140" s="18"/>
      <c r="G140" s="18"/>
      <c r="H140" s="18"/>
      <c r="I140" s="18"/>
      <c r="J140" s="18"/>
      <c r="K140" s="18"/>
      <c r="L140" s="18"/>
      <c r="M140" s="18"/>
      <c r="N140" s="69"/>
      <c r="O140" s="55"/>
      <c r="P140" s="110" t="str">
        <f>"Example #4. Bond Intrinsic value; bond floor"</f>
        <v>Example #4. Bond Intrinsic value; bond floor</v>
      </c>
      <c r="Q140" s="111"/>
      <c r="R140" s="111"/>
      <c r="S140" s="112"/>
      <c r="T140" s="112"/>
      <c r="U140" s="112"/>
      <c r="V140" s="113"/>
      <c r="W140" s="86"/>
    </row>
    <row r="141" spans="1:23" ht="15.75" thickBot="1" x14ac:dyDescent="0.3">
      <c r="A141" s="87"/>
      <c r="B141" s="85"/>
      <c r="C141" s="82"/>
      <c r="D141" s="82"/>
      <c r="E141" s="68"/>
      <c r="F141" s="18"/>
      <c r="G141" s="18"/>
      <c r="H141" s="18"/>
      <c r="I141" s="18"/>
      <c r="J141" s="18"/>
      <c r="K141" s="18"/>
      <c r="L141" s="18"/>
      <c r="M141" s="18"/>
      <c r="N141" s="69"/>
      <c r="O141" s="55"/>
      <c r="P141" s="63" t="s">
        <v>73</v>
      </c>
      <c r="Q141" s="64" t="s">
        <v>55</v>
      </c>
      <c r="R141" s="64" t="s">
        <v>75</v>
      </c>
      <c r="S141" s="64" t="s">
        <v>74</v>
      </c>
      <c r="T141" s="83"/>
      <c r="U141" s="83"/>
      <c r="V141" s="55"/>
      <c r="W141" s="86"/>
    </row>
    <row r="142" spans="1:23" ht="15.75" x14ac:dyDescent="0.25">
      <c r="A142" s="87"/>
      <c r="B142" s="85"/>
      <c r="C142" s="82"/>
      <c r="D142" s="82"/>
      <c r="E142" s="68"/>
      <c r="F142" s="18"/>
      <c r="G142" s="18"/>
      <c r="H142" s="18"/>
      <c r="I142" s="18"/>
      <c r="J142" s="18"/>
      <c r="K142" s="18"/>
      <c r="L142" s="18"/>
      <c r="M142" s="18"/>
      <c r="N142" s="69"/>
      <c r="O142" s="55"/>
      <c r="P142" s="105">
        <v>2</v>
      </c>
      <c r="Q142" s="58">
        <f ca="1">_xll.CBprice(P142,$B$5,$B$6,$B$7,$B$8,$B$9,$B$10,$B$11,$B$35:$C$39,$B$13,$B$14,$B$15,$B$16,$B$17,$B$18,$B$19:$B$25,$B$26)</f>
        <v>0.89789806623591784</v>
      </c>
      <c r="R142" s="58">
        <f>P142*$B$13/$B$17</f>
        <v>0.14106859460412627</v>
      </c>
      <c r="S142" s="58">
        <f ca="1">$B$28</f>
        <v>0.89788746430431399</v>
      </c>
      <c r="T142" s="83"/>
      <c r="U142" s="83"/>
      <c r="V142" s="55"/>
      <c r="W142" s="86"/>
    </row>
    <row r="143" spans="1:23" ht="15.75" x14ac:dyDescent="0.25">
      <c r="A143" s="87"/>
      <c r="B143" s="85"/>
      <c r="C143" s="82"/>
      <c r="D143" s="82"/>
      <c r="E143" s="68"/>
      <c r="F143" s="18"/>
      <c r="G143" s="18"/>
      <c r="H143" s="18"/>
      <c r="I143" s="18"/>
      <c r="J143" s="18"/>
      <c r="K143" s="18"/>
      <c r="L143" s="18"/>
      <c r="M143" s="18"/>
      <c r="N143" s="69"/>
      <c r="O143" s="55"/>
      <c r="P143" s="105">
        <f>P142+1</f>
        <v>3</v>
      </c>
      <c r="Q143" s="58">
        <f ca="1">_xll.CBprice(P143,$B$5,$B$6,$B$7,$B$8,$B$9,$B$10,$B$11,$B$35:$C$39,$B$13,$B$14,$B$15,$B$16,$B$17,$B$18,$B$19:$B$25,$B$26)</f>
        <v>0.89812079900502806</v>
      </c>
      <c r="R143" s="58">
        <f t="shared" ref="R143:R157" si="8">P143*$B$13/$B$17</f>
        <v>0.21160289190618939</v>
      </c>
      <c r="S143" s="58">
        <f t="shared" ref="S143:S158" ca="1" si="9">$B$28</f>
        <v>0.89788746430431399</v>
      </c>
      <c r="T143" s="83"/>
      <c r="U143" s="83"/>
      <c r="V143" s="55"/>
      <c r="W143" s="86"/>
    </row>
    <row r="144" spans="1:23" ht="15.75" x14ac:dyDescent="0.25">
      <c r="A144" s="87"/>
      <c r="B144" s="85"/>
      <c r="C144" s="82"/>
      <c r="D144" s="82"/>
      <c r="E144" s="68"/>
      <c r="F144" s="18"/>
      <c r="G144" s="18"/>
      <c r="H144" s="18"/>
      <c r="I144" s="18"/>
      <c r="J144" s="18"/>
      <c r="K144" s="18"/>
      <c r="L144" s="18"/>
      <c r="M144" s="18"/>
      <c r="N144" s="69"/>
      <c r="O144" s="55"/>
      <c r="P144" s="105">
        <f t="shared" ref="P144:P158" si="10">P143+1</f>
        <v>4</v>
      </c>
      <c r="Q144" s="58">
        <f ca="1">_xll.CBprice(P144,$B$5,$B$6,$B$7,$B$8,$B$9,$B$10,$B$11,$B$35:$C$39,$B$13,$B$14,$B$15,$B$16,$B$17,$B$18,$B$19:$B$25,$B$26)</f>
        <v>0.89910097083025675</v>
      </c>
      <c r="R144" s="58">
        <f t="shared" si="8"/>
        <v>0.28213718920825254</v>
      </c>
      <c r="S144" s="58">
        <f t="shared" ca="1" si="9"/>
        <v>0.89788746430431399</v>
      </c>
      <c r="T144" s="83"/>
      <c r="U144" s="83"/>
      <c r="V144" s="55"/>
      <c r="W144" s="86"/>
    </row>
    <row r="145" spans="1:23" ht="15.75" x14ac:dyDescent="0.25">
      <c r="A145" s="87"/>
      <c r="B145" s="85"/>
      <c r="C145" s="82"/>
      <c r="D145" s="82"/>
      <c r="E145" s="68"/>
      <c r="F145" s="18"/>
      <c r="G145" s="18"/>
      <c r="H145" s="18"/>
      <c r="I145" s="18"/>
      <c r="J145" s="18"/>
      <c r="K145" s="18"/>
      <c r="L145" s="18"/>
      <c r="M145" s="18"/>
      <c r="N145" s="69"/>
      <c r="O145" s="55"/>
      <c r="P145" s="105">
        <f t="shared" si="10"/>
        <v>5</v>
      </c>
      <c r="Q145" s="58">
        <f ca="1">_xll.CBprice(P145,$B$5,$B$6,$B$7,$B$8,$B$9,$B$10,$B$11,$B$35:$C$39,$B$13,$B$14,$B$15,$B$16,$B$17,$B$18,$B$19:$B$25,$B$26)</f>
        <v>0.90204749527075334</v>
      </c>
      <c r="R145" s="58">
        <f t="shared" si="8"/>
        <v>0.35267148651031571</v>
      </c>
      <c r="S145" s="58">
        <f t="shared" ca="1" si="9"/>
        <v>0.89788746430431399</v>
      </c>
      <c r="T145" s="83"/>
      <c r="U145" s="83"/>
      <c r="V145" s="55"/>
      <c r="W145" s="86"/>
    </row>
    <row r="146" spans="1:23" ht="15.75" x14ac:dyDescent="0.25">
      <c r="A146" s="87"/>
      <c r="B146" s="85"/>
      <c r="C146" s="82"/>
      <c r="D146" s="82"/>
      <c r="E146" s="68"/>
      <c r="F146" s="18"/>
      <c r="G146" s="18"/>
      <c r="H146" s="18"/>
      <c r="I146" s="18"/>
      <c r="J146" s="18"/>
      <c r="K146" s="18"/>
      <c r="L146" s="18"/>
      <c r="M146" s="18"/>
      <c r="N146" s="69"/>
      <c r="O146" s="55"/>
      <c r="P146" s="105">
        <f t="shared" si="10"/>
        <v>6</v>
      </c>
      <c r="Q146" s="58">
        <f ca="1">_xll.CBprice(P146,$B$5,$B$6,$B$7,$B$8,$B$9,$B$10,$B$11,$B$35:$C$39,$B$13,$B$14,$B$15,$B$16,$B$17,$B$18,$B$19:$B$25,$B$26)</f>
        <v>0.9087192960734034</v>
      </c>
      <c r="R146" s="58">
        <f t="shared" si="8"/>
        <v>0.42320578381237878</v>
      </c>
      <c r="S146" s="58">
        <f t="shared" ca="1" si="9"/>
        <v>0.89788746430431399</v>
      </c>
      <c r="T146" s="83"/>
      <c r="U146" s="83"/>
      <c r="V146" s="55"/>
      <c r="W146" s="86"/>
    </row>
    <row r="147" spans="1:23" ht="15.75" x14ac:dyDescent="0.25">
      <c r="A147" s="87"/>
      <c r="B147" s="85"/>
      <c r="C147" s="82"/>
      <c r="D147" s="82"/>
      <c r="E147" s="68"/>
      <c r="F147" s="18"/>
      <c r="G147" s="18"/>
      <c r="H147" s="18"/>
      <c r="I147" s="18"/>
      <c r="J147" s="18"/>
      <c r="K147" s="18"/>
      <c r="L147" s="18"/>
      <c r="M147" s="18"/>
      <c r="N147" s="69"/>
      <c r="O147" s="55"/>
      <c r="P147" s="105">
        <f t="shared" si="10"/>
        <v>7</v>
      </c>
      <c r="Q147" s="58">
        <f ca="1">_xll.CBprice(P147,$B$5,$B$6,$B$7,$B$8,$B$9,$B$10,$B$11,$B$35:$C$39,$B$13,$B$14,$B$15,$B$16,$B$17,$B$18,$B$19:$B$25,$B$26)</f>
        <v>0.91831742474243327</v>
      </c>
      <c r="R147" s="58">
        <f t="shared" si="8"/>
        <v>0.49374008111444195</v>
      </c>
      <c r="S147" s="58">
        <f t="shared" ca="1" si="9"/>
        <v>0.89788746430431399</v>
      </c>
      <c r="T147" s="83"/>
      <c r="U147" s="83"/>
      <c r="V147" s="55"/>
      <c r="W147" s="86"/>
    </row>
    <row r="148" spans="1:23" ht="15.75" x14ac:dyDescent="0.25">
      <c r="A148" s="87"/>
      <c r="B148" s="85"/>
      <c r="C148" s="82"/>
      <c r="D148" s="82"/>
      <c r="E148" s="68"/>
      <c r="F148" s="18"/>
      <c r="G148" s="18"/>
      <c r="H148" s="18"/>
      <c r="I148" s="18"/>
      <c r="J148" s="18"/>
      <c r="K148" s="18"/>
      <c r="L148" s="18"/>
      <c r="M148" s="18"/>
      <c r="N148" s="69"/>
      <c r="O148" s="55"/>
      <c r="P148" s="105">
        <f t="shared" si="10"/>
        <v>8</v>
      </c>
      <c r="Q148" s="58">
        <f ca="1">_xll.CBprice(P148,$B$5,$B$6,$B$7,$B$8,$B$9,$B$10,$B$11,$B$35:$C$39,$B$13,$B$14,$B$15,$B$16,$B$17,$B$18,$B$19:$B$25,$B$26)</f>
        <v>0.9325622179533376</v>
      </c>
      <c r="R148" s="58">
        <f t="shared" si="8"/>
        <v>0.56427437841650507</v>
      </c>
      <c r="S148" s="58">
        <f t="shared" ca="1" si="9"/>
        <v>0.89788746430431399</v>
      </c>
      <c r="T148" s="83"/>
      <c r="U148" s="83"/>
      <c r="V148" s="55"/>
      <c r="W148" s="86"/>
    </row>
    <row r="149" spans="1:23" ht="15.75" x14ac:dyDescent="0.25">
      <c r="A149" s="87"/>
      <c r="B149" s="85"/>
      <c r="C149" s="82"/>
      <c r="D149" s="82"/>
      <c r="E149" s="68"/>
      <c r="F149" s="18"/>
      <c r="G149" s="18"/>
      <c r="H149" s="18"/>
      <c r="I149" s="18"/>
      <c r="J149" s="18"/>
      <c r="K149" s="18"/>
      <c r="L149" s="18"/>
      <c r="M149" s="18"/>
      <c r="N149" s="69"/>
      <c r="O149" s="55"/>
      <c r="P149" s="105">
        <f t="shared" si="10"/>
        <v>9</v>
      </c>
      <c r="Q149" s="58">
        <f ca="1">_xll.CBprice(P149,$B$5,$B$6,$B$7,$B$8,$B$9,$B$10,$B$11,$B$35:$C$39,$B$13,$B$14,$B$15,$B$16,$B$17,$B$18,$B$19:$B$25,$B$26)</f>
        <v>0.95725899581989959</v>
      </c>
      <c r="R149" s="58">
        <f t="shared" si="8"/>
        <v>0.63480867571856825</v>
      </c>
      <c r="S149" s="58">
        <f t="shared" ca="1" si="9"/>
        <v>0.89788746430431399</v>
      </c>
      <c r="T149" s="83"/>
      <c r="U149" s="83"/>
      <c r="V149" s="55"/>
      <c r="W149" s="86"/>
    </row>
    <row r="150" spans="1:23" ht="15.75" x14ac:dyDescent="0.25">
      <c r="A150" s="87"/>
      <c r="B150" s="85"/>
      <c r="C150" s="82"/>
      <c r="D150" s="82"/>
      <c r="E150" s="68"/>
      <c r="F150" s="18"/>
      <c r="G150" s="18"/>
      <c r="H150" s="18"/>
      <c r="I150" s="18"/>
      <c r="J150" s="18"/>
      <c r="K150" s="18"/>
      <c r="L150" s="18"/>
      <c r="M150" s="18"/>
      <c r="N150" s="69"/>
      <c r="O150" s="55"/>
      <c r="P150" s="105">
        <f t="shared" si="10"/>
        <v>10</v>
      </c>
      <c r="Q150" s="58">
        <f ca="1">_xll.CBprice(P150,$B$5,$B$6,$B$7,$B$8,$B$9,$B$10,$B$11,$B$35:$C$39,$B$13,$B$14,$B$15,$B$16,$B$17,$B$18,$B$19:$B$25,$B$26)</f>
        <v>0.97745453573655494</v>
      </c>
      <c r="R150" s="58">
        <f t="shared" si="8"/>
        <v>0.70534297302063143</v>
      </c>
      <c r="S150" s="58">
        <f t="shared" ca="1" si="9"/>
        <v>0.89788746430431399</v>
      </c>
      <c r="T150" s="83"/>
      <c r="U150" s="83"/>
      <c r="V150" s="55"/>
      <c r="W150" s="86"/>
    </row>
    <row r="151" spans="1:23" ht="15.75" x14ac:dyDescent="0.25">
      <c r="A151" s="87"/>
      <c r="B151" s="85"/>
      <c r="C151" s="82"/>
      <c r="D151" s="82"/>
      <c r="E151" s="68"/>
      <c r="F151" s="18"/>
      <c r="G151" s="18"/>
      <c r="H151" s="18"/>
      <c r="I151" s="18"/>
      <c r="J151" s="18"/>
      <c r="K151" s="18"/>
      <c r="L151" s="18"/>
      <c r="M151" s="18"/>
      <c r="N151" s="69"/>
      <c r="O151" s="55"/>
      <c r="P151" s="105">
        <f t="shared" si="10"/>
        <v>11</v>
      </c>
      <c r="Q151" s="58">
        <f ca="1">_xll.CBprice(P151,$B$5,$B$6,$B$7,$B$8,$B$9,$B$10,$B$11,$B$35:$C$39,$B$13,$B$14,$B$15,$B$16,$B$17,$B$18,$B$19:$B$25,$B$26)</f>
        <v>1.0086913027044733</v>
      </c>
      <c r="R151" s="58">
        <f t="shared" si="8"/>
        <v>0.7758772703226946</v>
      </c>
      <c r="S151" s="58">
        <f t="shared" ca="1" si="9"/>
        <v>0.89788746430431399</v>
      </c>
      <c r="T151" s="83"/>
      <c r="U151" s="83"/>
      <c r="V151" s="55"/>
      <c r="W151" s="86"/>
    </row>
    <row r="152" spans="1:23" ht="15.75" x14ac:dyDescent="0.25">
      <c r="A152" s="87"/>
      <c r="B152" s="85"/>
      <c r="C152" s="82"/>
      <c r="D152" s="82"/>
      <c r="E152" s="68"/>
      <c r="F152" s="18"/>
      <c r="G152" s="18"/>
      <c r="H152" s="18"/>
      <c r="I152" s="18"/>
      <c r="J152" s="18"/>
      <c r="K152" s="18"/>
      <c r="L152" s="18"/>
      <c r="M152" s="18"/>
      <c r="N152" s="69"/>
      <c r="O152" s="55"/>
      <c r="P152" s="105">
        <f t="shared" si="10"/>
        <v>12</v>
      </c>
      <c r="Q152" s="58">
        <f ca="1">_xll.CBprice(P152,$B$5,$B$6,$B$7,$B$8,$B$9,$B$10,$B$11,$B$35:$C$39,$B$13,$B$14,$B$15,$B$16,$B$17,$B$18,$B$19:$B$25,$B$26)</f>
        <v>1.0456453248972331</v>
      </c>
      <c r="R152" s="58">
        <f t="shared" si="8"/>
        <v>0.84641156762475755</v>
      </c>
      <c r="S152" s="58">
        <f t="shared" ca="1" si="9"/>
        <v>0.89788746430431399</v>
      </c>
      <c r="T152" s="83"/>
      <c r="U152" s="83"/>
      <c r="V152" s="55"/>
      <c r="W152" s="86"/>
    </row>
    <row r="153" spans="1:23" ht="15.75" x14ac:dyDescent="0.25">
      <c r="A153" s="87"/>
      <c r="B153" s="85"/>
      <c r="C153" s="82"/>
      <c r="D153" s="82"/>
      <c r="E153" s="68"/>
      <c r="F153" s="18"/>
      <c r="G153" s="18"/>
      <c r="H153" s="18"/>
      <c r="I153" s="18"/>
      <c r="J153" s="18"/>
      <c r="K153" s="18"/>
      <c r="L153" s="18"/>
      <c r="M153" s="18"/>
      <c r="N153" s="69"/>
      <c r="O153" s="55"/>
      <c r="P153" s="105">
        <f t="shared" si="10"/>
        <v>13</v>
      </c>
      <c r="Q153" s="58">
        <f ca="1">_xll.CBprice(P153,$B$5,$B$6,$B$7,$B$8,$B$9,$B$10,$B$11,$B$35:$C$39,$B$13,$B$14,$B$15,$B$16,$B$17,$B$18,$B$19:$B$25,$B$26)</f>
        <v>1.0881617301095603</v>
      </c>
      <c r="R153" s="58">
        <f t="shared" si="8"/>
        <v>0.91694586492682073</v>
      </c>
      <c r="S153" s="58">
        <f t="shared" ca="1" si="9"/>
        <v>0.89788746430431399</v>
      </c>
      <c r="T153" s="83"/>
      <c r="U153" s="83"/>
      <c r="V153" s="55"/>
      <c r="W153" s="86"/>
    </row>
    <row r="154" spans="1:23" ht="15.75" x14ac:dyDescent="0.25">
      <c r="A154" s="87"/>
      <c r="B154" s="85"/>
      <c r="C154" s="82"/>
      <c r="D154" s="82"/>
      <c r="E154" s="68"/>
      <c r="F154" s="18"/>
      <c r="G154" s="18"/>
      <c r="H154" s="18"/>
      <c r="I154" s="18"/>
      <c r="J154" s="18"/>
      <c r="K154" s="18"/>
      <c r="L154" s="18"/>
      <c r="M154" s="18"/>
      <c r="N154" s="69"/>
      <c r="O154" s="55"/>
      <c r="P154" s="105">
        <f t="shared" si="10"/>
        <v>14</v>
      </c>
      <c r="Q154" s="58">
        <f ca="1">_xll.CBprice(P154,$B$5,$B$6,$B$7,$B$8,$B$9,$B$10,$B$11,$B$35:$C$39,$B$13,$B$14,$B$15,$B$16,$B$17,$B$18,$B$19:$B$25,$B$26)</f>
        <v>1.1246563004273171</v>
      </c>
      <c r="R154" s="58">
        <f t="shared" si="8"/>
        <v>0.98748016222888391</v>
      </c>
      <c r="S154" s="58">
        <f t="shared" ca="1" si="9"/>
        <v>0.89788746430431399</v>
      </c>
      <c r="T154" s="83"/>
      <c r="U154" s="83"/>
      <c r="V154" s="55"/>
      <c r="W154" s="86"/>
    </row>
    <row r="155" spans="1:23" ht="15.75" x14ac:dyDescent="0.25">
      <c r="A155" s="87"/>
      <c r="B155" s="85"/>
      <c r="C155" s="82"/>
      <c r="D155" s="82"/>
      <c r="E155" s="68"/>
      <c r="F155" s="18"/>
      <c r="G155" s="18"/>
      <c r="H155" s="18"/>
      <c r="I155" s="18"/>
      <c r="J155" s="18"/>
      <c r="K155" s="18"/>
      <c r="L155" s="18"/>
      <c r="M155" s="18"/>
      <c r="N155" s="69"/>
      <c r="O155" s="55"/>
      <c r="P155" s="105">
        <f t="shared" si="10"/>
        <v>15</v>
      </c>
      <c r="Q155" s="58">
        <f ca="1">_xll.CBprice(P155,$B$5,$B$6,$B$7,$B$8,$B$9,$B$10,$B$11,$B$35:$C$39,$B$13,$B$14,$B$15,$B$16,$B$17,$B$18,$B$19:$B$25,$B$26)</f>
        <v>1.1758345678980504</v>
      </c>
      <c r="R155" s="58">
        <f t="shared" si="8"/>
        <v>1.0580144595309471</v>
      </c>
      <c r="S155" s="58">
        <f t="shared" ca="1" si="9"/>
        <v>0.89788746430431399</v>
      </c>
      <c r="T155" s="83"/>
      <c r="U155" s="83"/>
      <c r="V155" s="55"/>
      <c r="W155" s="86"/>
    </row>
    <row r="156" spans="1:23" ht="15.75" x14ac:dyDescent="0.25">
      <c r="A156" s="87"/>
      <c r="B156" s="85"/>
      <c r="C156" s="82"/>
      <c r="D156" s="82"/>
      <c r="E156" s="68"/>
      <c r="F156" s="18"/>
      <c r="G156" s="18"/>
      <c r="H156" s="18"/>
      <c r="I156" s="18"/>
      <c r="J156" s="18"/>
      <c r="K156" s="18"/>
      <c r="L156" s="18"/>
      <c r="M156" s="18"/>
      <c r="N156" s="69"/>
      <c r="O156" s="55"/>
      <c r="P156" s="105">
        <f t="shared" si="10"/>
        <v>16</v>
      </c>
      <c r="Q156" s="58">
        <f ca="1">_xll.CBprice(P156,$B$5,$B$6,$B$7,$B$8,$B$9,$B$10,$B$11,$B$35:$C$39,$B$13,$B$14,$B$15,$B$16,$B$17,$B$18,$B$19:$B$25,$B$26)</f>
        <v>1.23108992324212</v>
      </c>
      <c r="R156" s="58">
        <f t="shared" si="8"/>
        <v>1.1285487568330101</v>
      </c>
      <c r="S156" s="58">
        <f t="shared" ca="1" si="9"/>
        <v>0.89788746430431399</v>
      </c>
      <c r="T156" s="83"/>
      <c r="U156" s="83"/>
      <c r="V156" s="55"/>
      <c r="W156" s="86"/>
    </row>
    <row r="157" spans="1:23" ht="15.75" x14ac:dyDescent="0.25">
      <c r="A157" s="87"/>
      <c r="B157" s="85"/>
      <c r="C157" s="82"/>
      <c r="D157" s="82"/>
      <c r="E157" s="68"/>
      <c r="F157" s="18"/>
      <c r="G157" s="18"/>
      <c r="H157" s="18"/>
      <c r="I157" s="18"/>
      <c r="J157" s="18"/>
      <c r="K157" s="18"/>
      <c r="L157" s="18"/>
      <c r="M157" s="18"/>
      <c r="N157" s="69"/>
      <c r="O157" s="55"/>
      <c r="P157" s="105">
        <f t="shared" si="10"/>
        <v>17</v>
      </c>
      <c r="Q157" s="58">
        <f ca="1">_xll.CBprice(P157,$B$5,$B$6,$B$7,$B$8,$B$9,$B$10,$B$11,$B$35:$C$39,$B$13,$B$14,$B$15,$B$16,$B$17,$B$18,$B$19:$B$25,$B$26)</f>
        <v>1.2777050193292889</v>
      </c>
      <c r="R157" s="58">
        <f t="shared" si="8"/>
        <v>1.1990830541350734</v>
      </c>
      <c r="S157" s="58">
        <f t="shared" ca="1" si="9"/>
        <v>0.89788746430431399</v>
      </c>
      <c r="T157" s="83"/>
      <c r="U157" s="83"/>
      <c r="V157" s="55"/>
      <c r="W157" s="86"/>
    </row>
    <row r="158" spans="1:23" ht="15.75" x14ac:dyDescent="0.25">
      <c r="A158" s="87"/>
      <c r="B158" s="85"/>
      <c r="C158" s="82"/>
      <c r="D158" s="82"/>
      <c r="E158" s="68"/>
      <c r="F158" s="18"/>
      <c r="G158" s="18"/>
      <c r="H158" s="18"/>
      <c r="I158" s="18"/>
      <c r="J158" s="18"/>
      <c r="K158" s="18"/>
      <c r="L158" s="18"/>
      <c r="M158" s="18"/>
      <c r="N158" s="69"/>
      <c r="O158" s="55"/>
      <c r="P158" s="105">
        <f t="shared" si="10"/>
        <v>18</v>
      </c>
      <c r="Q158" s="58">
        <f ca="1">_xll.CBprice(P158,$B$5,$B$6,$B$7,$B$8,$B$9,$B$10,$B$11,$B$35:$C$39,$B$13,$B$14,$B$15,$B$16,$B$17,$B$18,$B$19:$B$25,$B$26)</f>
        <v>1.339139097238752</v>
      </c>
      <c r="R158" s="58">
        <f>P158*$B$13/$B$17</f>
        <v>1.2696173514371365</v>
      </c>
      <c r="S158" s="58">
        <f t="shared" ca="1" si="9"/>
        <v>0.89788746430431399</v>
      </c>
      <c r="T158" s="83"/>
      <c r="U158" s="83"/>
      <c r="V158" s="55"/>
      <c r="W158" s="86"/>
    </row>
    <row r="159" spans="1:23" x14ac:dyDescent="0.25">
      <c r="A159" s="87"/>
      <c r="B159" s="85"/>
      <c r="C159" s="82"/>
      <c r="D159" s="82"/>
      <c r="E159" s="68"/>
      <c r="F159" s="18"/>
      <c r="G159" s="18"/>
      <c r="H159" s="18"/>
      <c r="I159" s="18"/>
      <c r="J159" s="18"/>
      <c r="K159" s="18"/>
      <c r="L159" s="18"/>
      <c r="M159" s="18"/>
      <c r="N159" s="69"/>
      <c r="O159" s="55"/>
      <c r="P159" s="55"/>
      <c r="Q159" s="55"/>
      <c r="R159" s="55"/>
      <c r="S159" s="55"/>
      <c r="T159" s="55"/>
      <c r="U159" s="55"/>
      <c r="V159" s="55"/>
      <c r="W159" s="86"/>
    </row>
    <row r="160" spans="1:23" x14ac:dyDescent="0.25">
      <c r="A160" s="87"/>
      <c r="B160" s="85"/>
      <c r="C160" s="82"/>
      <c r="D160" s="82"/>
      <c r="E160" s="68"/>
      <c r="F160" s="18"/>
      <c r="G160" s="18"/>
      <c r="H160" s="18"/>
      <c r="I160" s="18"/>
      <c r="J160" s="18"/>
      <c r="K160" s="18"/>
      <c r="L160" s="18"/>
      <c r="M160" s="18"/>
      <c r="N160" s="69"/>
      <c r="O160" s="55"/>
      <c r="P160" s="55"/>
      <c r="Q160" s="55"/>
      <c r="R160" s="55"/>
      <c r="S160" s="55"/>
      <c r="T160" s="55"/>
      <c r="U160" s="55"/>
      <c r="V160" s="55"/>
      <c r="W160" s="86"/>
    </row>
    <row r="161" spans="1:23" x14ac:dyDescent="0.25">
      <c r="A161" s="87"/>
      <c r="B161" s="85"/>
      <c r="C161" s="82"/>
      <c r="D161" s="82"/>
      <c r="E161" s="68"/>
      <c r="F161" s="18"/>
      <c r="G161" s="18"/>
      <c r="H161" s="18"/>
      <c r="I161" s="18"/>
      <c r="J161" s="18"/>
      <c r="K161" s="18"/>
      <c r="L161" s="18"/>
      <c r="M161" s="18"/>
      <c r="N161" s="69"/>
      <c r="O161" s="55"/>
      <c r="P161" s="55"/>
      <c r="Q161" s="55"/>
      <c r="R161" s="55"/>
      <c r="S161" s="55"/>
      <c r="T161" s="55"/>
      <c r="U161" s="55"/>
      <c r="V161" s="55"/>
      <c r="W161" s="86"/>
    </row>
    <row r="162" spans="1:23" x14ac:dyDescent="0.25">
      <c r="A162" s="87"/>
      <c r="B162" s="85"/>
      <c r="C162" s="82"/>
      <c r="D162" s="82"/>
      <c r="E162" s="68"/>
      <c r="F162" s="18"/>
      <c r="G162" s="18"/>
      <c r="H162" s="18"/>
      <c r="I162" s="18"/>
      <c r="J162" s="18"/>
      <c r="K162" s="18"/>
      <c r="L162" s="18"/>
      <c r="M162" s="18"/>
      <c r="N162" s="69"/>
      <c r="O162" s="55"/>
      <c r="P162" s="55"/>
      <c r="Q162" s="55"/>
      <c r="R162" s="55"/>
      <c r="S162" s="55"/>
      <c r="T162" s="55"/>
      <c r="U162" s="55"/>
      <c r="V162" s="55"/>
      <c r="W162" s="86"/>
    </row>
    <row r="163" spans="1:23" x14ac:dyDescent="0.25">
      <c r="A163" s="87"/>
      <c r="B163" s="85"/>
      <c r="C163" s="82"/>
      <c r="D163" s="82"/>
      <c r="E163" s="68"/>
      <c r="F163" s="18"/>
      <c r="G163" s="18"/>
      <c r="H163" s="18"/>
      <c r="I163" s="18"/>
      <c r="J163" s="18"/>
      <c r="K163" s="18"/>
      <c r="L163" s="18"/>
      <c r="M163" s="18"/>
      <c r="N163" s="69"/>
      <c r="O163" s="55"/>
      <c r="P163" s="55"/>
      <c r="Q163" s="55"/>
      <c r="R163" s="55"/>
      <c r="S163" s="55"/>
      <c r="T163" s="55"/>
      <c r="U163" s="55"/>
      <c r="V163" s="55"/>
      <c r="W163" s="86"/>
    </row>
    <row r="164" spans="1:23" x14ac:dyDescent="0.25">
      <c r="A164" s="87"/>
      <c r="B164" s="85"/>
      <c r="C164" s="82"/>
      <c r="D164" s="82"/>
      <c r="E164" s="68"/>
      <c r="F164" s="18"/>
      <c r="G164" s="18"/>
      <c r="H164" s="18"/>
      <c r="I164" s="18"/>
      <c r="J164" s="18"/>
      <c r="K164" s="18"/>
      <c r="L164" s="18"/>
      <c r="M164" s="18"/>
      <c r="N164" s="69"/>
      <c r="O164" s="55"/>
      <c r="P164" s="55"/>
      <c r="Q164" s="55"/>
      <c r="R164" s="55"/>
      <c r="S164" s="55"/>
      <c r="T164" s="55"/>
      <c r="U164" s="55"/>
      <c r="V164" s="55"/>
      <c r="W164" s="86"/>
    </row>
    <row r="165" spans="1:23" x14ac:dyDescent="0.25">
      <c r="A165" s="87"/>
      <c r="B165" s="85"/>
      <c r="C165" s="82"/>
      <c r="D165" s="82"/>
      <c r="E165" s="68"/>
      <c r="F165" s="18"/>
      <c r="G165" s="18"/>
      <c r="H165" s="18"/>
      <c r="I165" s="18"/>
      <c r="J165" s="18"/>
      <c r="K165" s="18"/>
      <c r="L165" s="18"/>
      <c r="M165" s="18"/>
      <c r="N165" s="69"/>
      <c r="O165" s="55"/>
      <c r="P165" s="55"/>
      <c r="Q165" s="55"/>
      <c r="R165" s="55"/>
      <c r="S165" s="55"/>
      <c r="T165" s="55"/>
      <c r="U165" s="55"/>
      <c r="V165" s="55"/>
      <c r="W165" s="86"/>
    </row>
    <row r="166" spans="1:23" x14ac:dyDescent="0.25">
      <c r="A166" s="87"/>
      <c r="B166" s="85"/>
      <c r="C166" s="82"/>
      <c r="D166" s="82"/>
      <c r="E166" s="68"/>
      <c r="F166" s="18"/>
      <c r="G166" s="18"/>
      <c r="H166" s="18"/>
      <c r="I166" s="18"/>
      <c r="J166" s="18"/>
      <c r="K166" s="18"/>
      <c r="L166" s="18"/>
      <c r="M166" s="18"/>
      <c r="N166" s="69"/>
      <c r="O166" s="55"/>
      <c r="P166" s="55"/>
      <c r="Q166" s="55"/>
      <c r="R166" s="55"/>
      <c r="S166" s="55"/>
      <c r="T166" s="55"/>
      <c r="U166" s="55"/>
      <c r="V166" s="55"/>
      <c r="W166" s="86"/>
    </row>
    <row r="167" spans="1:23" x14ac:dyDescent="0.25">
      <c r="A167" s="87"/>
      <c r="B167" s="85"/>
      <c r="C167" s="82"/>
      <c r="D167" s="82"/>
      <c r="E167" s="68"/>
      <c r="F167" s="18"/>
      <c r="G167" s="18"/>
      <c r="H167" s="18"/>
      <c r="I167" s="18"/>
      <c r="J167" s="18"/>
      <c r="K167" s="18"/>
      <c r="L167" s="18"/>
      <c r="M167" s="18"/>
      <c r="N167" s="69"/>
      <c r="O167" s="55"/>
      <c r="P167" s="55"/>
      <c r="Q167" s="55"/>
      <c r="R167" s="55"/>
      <c r="S167" s="55"/>
      <c r="T167" s="55"/>
      <c r="U167" s="55"/>
      <c r="V167" s="55"/>
      <c r="W167" s="86"/>
    </row>
    <row r="168" spans="1:23" x14ac:dyDescent="0.25">
      <c r="A168" s="87"/>
      <c r="B168" s="85"/>
      <c r="C168" s="82"/>
      <c r="D168" s="82"/>
      <c r="E168" s="68"/>
      <c r="F168" s="18"/>
      <c r="G168" s="18"/>
      <c r="H168" s="18"/>
      <c r="I168" s="18"/>
      <c r="J168" s="18"/>
      <c r="K168" s="18"/>
      <c r="L168" s="18"/>
      <c r="M168" s="18"/>
      <c r="N168" s="69"/>
      <c r="O168" s="55"/>
      <c r="P168" s="55"/>
      <c r="Q168" s="55"/>
      <c r="R168" s="55"/>
      <c r="S168" s="55"/>
      <c r="T168" s="55"/>
      <c r="U168" s="55"/>
      <c r="V168" s="55"/>
      <c r="W168" s="86"/>
    </row>
    <row r="169" spans="1:23" x14ac:dyDescent="0.25">
      <c r="A169" s="87"/>
      <c r="B169" s="85"/>
      <c r="C169" s="82"/>
      <c r="D169" s="82"/>
      <c r="E169" s="68"/>
      <c r="F169" s="18"/>
      <c r="G169" s="18"/>
      <c r="H169" s="18"/>
      <c r="I169" s="18"/>
      <c r="J169" s="18"/>
      <c r="K169" s="18"/>
      <c r="L169" s="18"/>
      <c r="M169" s="18"/>
      <c r="N169" s="69"/>
      <c r="O169" s="55"/>
      <c r="P169" s="55"/>
      <c r="Q169" s="55"/>
      <c r="R169" s="55"/>
      <c r="S169" s="55"/>
      <c r="T169" s="55"/>
      <c r="U169" s="55"/>
      <c r="V169" s="55"/>
      <c r="W169" s="86"/>
    </row>
    <row r="170" spans="1:23" x14ac:dyDescent="0.25">
      <c r="A170" s="87"/>
      <c r="B170" s="85"/>
      <c r="C170" s="82"/>
      <c r="D170" s="82"/>
      <c r="E170" s="68"/>
      <c r="F170" s="18"/>
      <c r="G170" s="18"/>
      <c r="H170" s="18"/>
      <c r="I170" s="18"/>
      <c r="J170" s="18"/>
      <c r="K170" s="18"/>
      <c r="L170" s="18"/>
      <c r="M170" s="18"/>
      <c r="N170" s="69"/>
      <c r="O170" s="55"/>
      <c r="P170" s="55"/>
      <c r="Q170" s="55"/>
      <c r="R170" s="55"/>
      <c r="S170" s="55"/>
      <c r="T170" s="55"/>
      <c r="U170" s="55"/>
      <c r="V170" s="55"/>
      <c r="W170" s="86"/>
    </row>
    <row r="171" spans="1:23" x14ac:dyDescent="0.25">
      <c r="A171" s="87"/>
      <c r="B171" s="85"/>
      <c r="C171" s="82"/>
      <c r="D171" s="82"/>
      <c r="E171" s="68"/>
      <c r="F171" s="18"/>
      <c r="G171" s="18"/>
      <c r="H171" s="18"/>
      <c r="I171" s="18"/>
      <c r="J171" s="18"/>
      <c r="K171" s="18"/>
      <c r="L171" s="18"/>
      <c r="M171" s="18"/>
      <c r="N171" s="69"/>
      <c r="O171" s="55"/>
      <c r="P171" s="55"/>
      <c r="Q171" s="55"/>
      <c r="R171" s="55"/>
      <c r="S171" s="55"/>
      <c r="T171" s="55"/>
      <c r="U171" s="55"/>
      <c r="V171" s="55"/>
      <c r="W171" s="86"/>
    </row>
    <row r="172" spans="1:23" x14ac:dyDescent="0.25">
      <c r="A172" s="87"/>
      <c r="B172" s="85"/>
      <c r="C172" s="82"/>
      <c r="D172" s="82"/>
      <c r="E172" s="68"/>
      <c r="F172" s="18"/>
      <c r="G172" s="18"/>
      <c r="H172" s="18"/>
      <c r="I172" s="18"/>
      <c r="J172" s="18"/>
      <c r="K172" s="18"/>
      <c r="L172" s="18"/>
      <c r="M172" s="18"/>
      <c r="N172" s="69"/>
      <c r="O172" s="55"/>
      <c r="P172" s="55"/>
      <c r="Q172" s="55"/>
      <c r="R172" s="55"/>
      <c r="S172" s="55"/>
      <c r="T172" s="55"/>
      <c r="U172" s="55"/>
      <c r="V172" s="55"/>
      <c r="W172" s="86"/>
    </row>
    <row r="173" spans="1:23" x14ac:dyDescent="0.25">
      <c r="A173" s="87"/>
      <c r="B173" s="85"/>
      <c r="C173" s="82"/>
      <c r="D173" s="82"/>
      <c r="E173" s="68"/>
      <c r="F173" s="18"/>
      <c r="G173" s="18"/>
      <c r="H173" s="18"/>
      <c r="I173" s="18"/>
      <c r="J173" s="18"/>
      <c r="K173" s="18"/>
      <c r="L173" s="18"/>
      <c r="M173" s="18"/>
      <c r="N173" s="69"/>
      <c r="O173" s="55"/>
      <c r="P173" s="55"/>
      <c r="Q173" s="55"/>
      <c r="R173" s="55"/>
      <c r="S173" s="55"/>
      <c r="T173" s="55"/>
      <c r="U173" s="55"/>
      <c r="V173" s="55"/>
      <c r="W173" s="86"/>
    </row>
    <row r="174" spans="1:23" x14ac:dyDescent="0.25">
      <c r="A174" s="87"/>
      <c r="B174" s="85"/>
      <c r="C174" s="82"/>
      <c r="D174" s="82"/>
      <c r="E174" s="68"/>
      <c r="F174" s="18"/>
      <c r="G174" s="18"/>
      <c r="H174" s="18"/>
      <c r="I174" s="18"/>
      <c r="J174" s="18"/>
      <c r="K174" s="18"/>
      <c r="L174" s="18"/>
      <c r="M174" s="18"/>
      <c r="N174" s="69"/>
      <c r="O174" s="55"/>
      <c r="P174" s="55"/>
      <c r="Q174" s="55"/>
      <c r="R174" s="55"/>
      <c r="S174" s="55"/>
      <c r="T174" s="55"/>
      <c r="U174" s="55"/>
      <c r="V174" s="55"/>
      <c r="W174" s="86"/>
    </row>
    <row r="175" spans="1:23" x14ac:dyDescent="0.25">
      <c r="A175" s="87"/>
      <c r="B175" s="85"/>
      <c r="C175" s="82"/>
      <c r="D175" s="82"/>
      <c r="E175" s="68"/>
      <c r="F175" s="18"/>
      <c r="G175" s="18"/>
      <c r="H175" s="18"/>
      <c r="I175" s="18"/>
      <c r="J175" s="18"/>
      <c r="K175" s="18"/>
      <c r="L175" s="18"/>
      <c r="M175" s="18"/>
      <c r="N175" s="69"/>
      <c r="O175" s="55"/>
      <c r="P175" s="55"/>
      <c r="Q175" s="55"/>
      <c r="R175" s="55"/>
      <c r="S175" s="55"/>
      <c r="T175" s="55"/>
      <c r="U175" s="55"/>
      <c r="V175" s="55"/>
      <c r="W175" s="86"/>
    </row>
    <row r="176" spans="1:23" x14ac:dyDescent="0.25">
      <c r="A176" s="87"/>
      <c r="B176" s="85"/>
      <c r="C176" s="82"/>
      <c r="D176" s="82"/>
      <c r="E176" s="68"/>
      <c r="F176" s="18"/>
      <c r="G176" s="18"/>
      <c r="H176" s="18"/>
      <c r="I176" s="18"/>
      <c r="J176" s="18"/>
      <c r="K176" s="18"/>
      <c r="L176" s="18"/>
      <c r="M176" s="18"/>
      <c r="N176" s="69"/>
      <c r="O176" s="55"/>
      <c r="P176" s="55"/>
      <c r="Q176" s="55"/>
      <c r="R176" s="55"/>
      <c r="S176" s="55"/>
      <c r="T176" s="55"/>
      <c r="U176" s="55"/>
      <c r="V176" s="55"/>
      <c r="W176" s="86"/>
    </row>
    <row r="177" spans="1:23" x14ac:dyDescent="0.25">
      <c r="A177" s="87"/>
      <c r="B177" s="85"/>
      <c r="C177" s="82"/>
      <c r="D177" s="82"/>
      <c r="E177" s="68"/>
      <c r="F177" s="18"/>
      <c r="G177" s="18"/>
      <c r="H177" s="18"/>
      <c r="I177" s="18"/>
      <c r="J177" s="18"/>
      <c r="K177" s="18"/>
      <c r="L177" s="18"/>
      <c r="M177" s="18"/>
      <c r="N177" s="69"/>
      <c r="O177" s="55"/>
      <c r="P177" s="55"/>
      <c r="Q177" s="55"/>
      <c r="R177" s="55"/>
      <c r="S177" s="55"/>
      <c r="T177" s="55"/>
      <c r="U177" s="55"/>
      <c r="V177" s="55"/>
      <c r="W177" s="86"/>
    </row>
    <row r="178" spans="1:23" x14ac:dyDescent="0.25">
      <c r="A178" s="87"/>
      <c r="B178" s="85"/>
      <c r="C178" s="82"/>
      <c r="D178" s="82"/>
      <c r="E178" s="68"/>
      <c r="F178" s="18"/>
      <c r="G178" s="18"/>
      <c r="H178" s="18"/>
      <c r="I178" s="18"/>
      <c r="J178" s="18"/>
      <c r="K178" s="18"/>
      <c r="L178" s="18"/>
      <c r="M178" s="18"/>
      <c r="N178" s="69"/>
      <c r="O178" s="55"/>
      <c r="P178" s="55"/>
      <c r="Q178" s="55"/>
      <c r="R178" s="55"/>
      <c r="S178" s="55"/>
      <c r="T178" s="55"/>
      <c r="U178" s="55"/>
      <c r="V178" s="55"/>
      <c r="W178" s="86"/>
    </row>
    <row r="179" spans="1:23" x14ac:dyDescent="0.25">
      <c r="A179" s="87"/>
      <c r="B179" s="85"/>
      <c r="C179" s="82"/>
      <c r="D179" s="82"/>
      <c r="E179" s="68"/>
      <c r="F179" s="18"/>
      <c r="G179" s="18"/>
      <c r="H179" s="18"/>
      <c r="I179" s="18"/>
      <c r="J179" s="18"/>
      <c r="K179" s="18"/>
      <c r="L179" s="18"/>
      <c r="M179" s="18"/>
      <c r="N179" s="69"/>
      <c r="O179" s="55"/>
      <c r="P179" s="55"/>
      <c r="Q179" s="55"/>
      <c r="R179" s="55"/>
      <c r="S179" s="55"/>
      <c r="T179" s="55"/>
      <c r="U179" s="55"/>
      <c r="V179" s="55"/>
      <c r="W179" s="86"/>
    </row>
    <row r="180" spans="1:23" x14ac:dyDescent="0.25">
      <c r="A180" s="87"/>
      <c r="B180" s="85"/>
      <c r="C180" s="82"/>
      <c r="D180" s="82"/>
      <c r="E180" s="68"/>
      <c r="F180" s="18"/>
      <c r="G180" s="18"/>
      <c r="H180" s="18"/>
      <c r="I180" s="18"/>
      <c r="J180" s="18"/>
      <c r="K180" s="18"/>
      <c r="L180" s="18"/>
      <c r="M180" s="18"/>
      <c r="N180" s="69"/>
      <c r="O180" s="55"/>
      <c r="P180" s="55"/>
      <c r="Q180" s="55"/>
      <c r="R180" s="55"/>
      <c r="S180" s="55"/>
      <c r="T180" s="55"/>
      <c r="U180" s="55"/>
      <c r="V180" s="55"/>
      <c r="W180" s="86"/>
    </row>
    <row r="181" spans="1:23" x14ac:dyDescent="0.25">
      <c r="A181" s="87"/>
      <c r="B181" s="85"/>
      <c r="C181" s="82"/>
      <c r="D181" s="82"/>
      <c r="E181" s="73"/>
      <c r="F181" s="18"/>
      <c r="G181" s="44"/>
      <c r="H181" s="44"/>
      <c r="I181" s="44"/>
      <c r="J181" s="44"/>
      <c r="K181" s="44"/>
      <c r="L181" s="44"/>
      <c r="M181" s="44"/>
      <c r="N181" s="74"/>
      <c r="O181" s="55"/>
      <c r="P181" s="55"/>
      <c r="Q181" s="55"/>
      <c r="R181" s="55"/>
      <c r="S181" s="55"/>
      <c r="T181" s="55"/>
      <c r="U181" s="55"/>
      <c r="V181" s="55"/>
      <c r="W181" s="86"/>
    </row>
    <row r="182" spans="1:23" x14ac:dyDescent="0.25">
      <c r="A182" s="87"/>
      <c r="B182" s="85"/>
      <c r="C182" s="82"/>
      <c r="D182" s="82"/>
      <c r="E182" s="73"/>
      <c r="F182" s="18"/>
      <c r="G182" s="44"/>
      <c r="H182" s="44"/>
      <c r="I182" s="44"/>
      <c r="J182" s="44"/>
      <c r="K182" s="44"/>
      <c r="L182" s="44"/>
      <c r="M182" s="44"/>
      <c r="N182" s="74"/>
      <c r="O182" s="55"/>
      <c r="P182" s="55"/>
      <c r="Q182" s="55"/>
      <c r="R182" s="55"/>
      <c r="S182" s="55"/>
      <c r="T182" s="55"/>
      <c r="U182" s="55"/>
      <c r="V182" s="55"/>
      <c r="W182" s="86"/>
    </row>
    <row r="183" spans="1:23" x14ac:dyDescent="0.25">
      <c r="A183" s="87"/>
      <c r="B183" s="85"/>
      <c r="C183" s="82"/>
      <c r="D183" s="82"/>
      <c r="E183" s="73"/>
      <c r="F183" s="18"/>
      <c r="G183" s="44"/>
      <c r="H183" s="44"/>
      <c r="I183" s="44"/>
      <c r="J183" s="44"/>
      <c r="K183" s="44"/>
      <c r="L183" s="44"/>
      <c r="M183" s="44"/>
      <c r="N183" s="74"/>
      <c r="O183" s="55"/>
      <c r="P183" s="55"/>
      <c r="Q183" s="55"/>
      <c r="R183" s="55"/>
      <c r="S183" s="55"/>
      <c r="T183" s="55"/>
      <c r="U183" s="55"/>
      <c r="V183" s="55"/>
      <c r="W183" s="86"/>
    </row>
    <row r="184" spans="1:23" x14ac:dyDescent="0.25">
      <c r="A184" s="87"/>
      <c r="B184" s="85"/>
      <c r="C184" s="82"/>
      <c r="D184" s="82"/>
      <c r="E184" s="73"/>
      <c r="F184" s="18"/>
      <c r="G184" s="44"/>
      <c r="H184" s="44"/>
      <c r="I184" s="44"/>
      <c r="J184" s="44"/>
      <c r="K184" s="44"/>
      <c r="L184" s="44"/>
      <c r="M184" s="44"/>
      <c r="N184" s="74"/>
      <c r="O184" s="55"/>
      <c r="P184" s="55"/>
      <c r="Q184" s="55"/>
      <c r="R184" s="55"/>
      <c r="S184" s="55"/>
      <c r="T184" s="55"/>
      <c r="U184" s="55"/>
      <c r="V184" s="55"/>
      <c r="W184" s="86"/>
    </row>
    <row r="185" spans="1:23" x14ac:dyDescent="0.25">
      <c r="A185" s="87"/>
      <c r="B185" s="85"/>
      <c r="C185" s="82"/>
      <c r="D185" s="82"/>
      <c r="E185" s="73"/>
      <c r="F185" s="18"/>
      <c r="G185" s="44"/>
      <c r="H185" s="44"/>
      <c r="I185" s="44"/>
      <c r="J185" s="44"/>
      <c r="K185" s="44"/>
      <c r="L185" s="44"/>
      <c r="M185" s="44"/>
      <c r="N185" s="74"/>
      <c r="O185" s="55"/>
      <c r="P185" s="55"/>
      <c r="Q185" s="55"/>
      <c r="R185" s="55"/>
      <c r="S185" s="55"/>
      <c r="T185" s="55"/>
      <c r="U185" s="55"/>
      <c r="V185" s="55"/>
      <c r="W185" s="86"/>
    </row>
    <row r="186" spans="1:23" x14ac:dyDescent="0.25">
      <c r="A186" s="87"/>
      <c r="B186" s="85"/>
      <c r="C186" s="82"/>
      <c r="D186" s="82"/>
      <c r="E186" s="73"/>
      <c r="F186" s="18"/>
      <c r="G186" s="44"/>
      <c r="H186" s="44"/>
      <c r="I186" s="44"/>
      <c r="J186" s="44"/>
      <c r="K186" s="44"/>
      <c r="L186" s="44"/>
      <c r="M186" s="44"/>
      <c r="N186" s="74"/>
      <c r="O186" s="55"/>
      <c r="P186" s="55"/>
      <c r="Q186" s="55"/>
      <c r="R186" s="55"/>
      <c r="S186" s="55"/>
      <c r="T186" s="55"/>
      <c r="U186" s="55"/>
      <c r="V186" s="55"/>
      <c r="W186" s="86"/>
    </row>
    <row r="187" spans="1:23" x14ac:dyDescent="0.25">
      <c r="A187" s="87"/>
      <c r="B187" s="85"/>
      <c r="C187" s="82"/>
      <c r="D187" s="82"/>
      <c r="E187" s="73"/>
      <c r="F187" s="18"/>
      <c r="G187" s="44"/>
      <c r="H187" s="44"/>
      <c r="I187" s="44"/>
      <c r="J187" s="44"/>
      <c r="K187" s="44"/>
      <c r="L187" s="44"/>
      <c r="M187" s="44"/>
      <c r="N187" s="74"/>
      <c r="O187" s="55"/>
      <c r="P187" s="55"/>
      <c r="Q187" s="55"/>
      <c r="R187" s="55"/>
      <c r="S187" s="55"/>
      <c r="T187" s="55"/>
      <c r="U187" s="55"/>
      <c r="V187" s="55"/>
      <c r="W187" s="86"/>
    </row>
    <row r="188" spans="1:23" ht="15.75" thickBot="1" x14ac:dyDescent="0.3">
      <c r="A188" s="88"/>
      <c r="B188" s="89"/>
      <c r="C188" s="90"/>
      <c r="D188" s="90"/>
      <c r="E188" s="75"/>
      <c r="F188" s="76"/>
      <c r="G188" s="77"/>
      <c r="H188" s="77"/>
      <c r="I188" s="77"/>
      <c r="J188" s="77"/>
      <c r="K188" s="77"/>
      <c r="L188" s="77"/>
      <c r="M188" s="77"/>
      <c r="N188" s="78"/>
      <c r="O188" s="91"/>
      <c r="P188" s="91"/>
      <c r="Q188" s="91"/>
      <c r="R188" s="91"/>
      <c r="S188" s="91"/>
      <c r="T188" s="91"/>
      <c r="U188" s="91"/>
      <c r="V188" s="91"/>
      <c r="W188" s="92"/>
    </row>
    <row r="189" spans="1:23" x14ac:dyDescent="0.25">
      <c r="F189" s="1"/>
    </row>
    <row r="190" spans="1:23" x14ac:dyDescent="0.25">
      <c r="F190" s="1"/>
    </row>
    <row r="191" spans="1:23" x14ac:dyDescent="0.25">
      <c r="F191" s="1"/>
    </row>
    <row r="192" spans="1:23" x14ac:dyDescent="0.25">
      <c r="F192" s="1"/>
    </row>
    <row r="193" spans="6:6" x14ac:dyDescent="0.25">
      <c r="F193" s="1"/>
    </row>
    <row r="194" spans="6:6" x14ac:dyDescent="0.25">
      <c r="F194" s="1"/>
    </row>
    <row r="195" spans="6:6" x14ac:dyDescent="0.25">
      <c r="F195" s="1"/>
    </row>
    <row r="196" spans="6:6" x14ac:dyDescent="0.25">
      <c r="F196" s="1"/>
    </row>
    <row r="197" spans="6:6" x14ac:dyDescent="0.25">
      <c r="F197" s="1"/>
    </row>
    <row r="198" spans="6:6" x14ac:dyDescent="0.25">
      <c r="F198" s="1"/>
    </row>
    <row r="199" spans="6:6" x14ac:dyDescent="0.25">
      <c r="F199" s="1"/>
    </row>
    <row r="200" spans="6:6" x14ac:dyDescent="0.25">
      <c r="F200" s="1"/>
    </row>
    <row r="201" spans="6:6" x14ac:dyDescent="0.25">
      <c r="F201" s="1"/>
    </row>
    <row r="202" spans="6:6" x14ac:dyDescent="0.25">
      <c r="F202" s="1"/>
    </row>
    <row r="203" spans="6:6" x14ac:dyDescent="0.25">
      <c r="F203" s="1"/>
    </row>
    <row r="204" spans="6:6" x14ac:dyDescent="0.25">
      <c r="F204" s="1"/>
    </row>
    <row r="205" spans="6:6" x14ac:dyDescent="0.25">
      <c r="F205" s="1"/>
    </row>
    <row r="206" spans="6:6" x14ac:dyDescent="0.25">
      <c r="F206" s="1"/>
    </row>
    <row r="207" spans="6:6" x14ac:dyDescent="0.25">
      <c r="F207" s="1"/>
    </row>
    <row r="208" spans="6:6" x14ac:dyDescent="0.25">
      <c r="F208" s="1"/>
    </row>
    <row r="209" spans="6:6" x14ac:dyDescent="0.25">
      <c r="F209" s="1"/>
    </row>
    <row r="210" spans="6:6" x14ac:dyDescent="0.25">
      <c r="F210" s="1"/>
    </row>
    <row r="211" spans="6:6" x14ac:dyDescent="0.25">
      <c r="F211" s="1"/>
    </row>
    <row r="212" spans="6:6" x14ac:dyDescent="0.25">
      <c r="F212" s="1"/>
    </row>
    <row r="213" spans="6:6" x14ac:dyDescent="0.25">
      <c r="F213" s="1"/>
    </row>
    <row r="214" spans="6:6" x14ac:dyDescent="0.25">
      <c r="F214" s="1"/>
    </row>
    <row r="215" spans="6:6" x14ac:dyDescent="0.25">
      <c r="F215" s="1"/>
    </row>
    <row r="216" spans="6:6" x14ac:dyDescent="0.25">
      <c r="F216" s="1"/>
    </row>
    <row r="217" spans="6:6" x14ac:dyDescent="0.25">
      <c r="F217" s="1"/>
    </row>
    <row r="218" spans="6:6" x14ac:dyDescent="0.25">
      <c r="F218" s="1"/>
    </row>
    <row r="219" spans="6:6" x14ac:dyDescent="0.25">
      <c r="F219" s="1"/>
    </row>
    <row r="220" spans="6:6" x14ac:dyDescent="0.25">
      <c r="F220" s="1"/>
    </row>
    <row r="221" spans="6:6" x14ac:dyDescent="0.25">
      <c r="F221" s="1"/>
    </row>
    <row r="222" spans="6:6" x14ac:dyDescent="0.25">
      <c r="F222" s="1"/>
    </row>
    <row r="223" spans="6:6" x14ac:dyDescent="0.25">
      <c r="F223" s="1"/>
    </row>
    <row r="224" spans="6:6" x14ac:dyDescent="0.25">
      <c r="F224" s="1"/>
    </row>
    <row r="225" spans="6:6" x14ac:dyDescent="0.25">
      <c r="F225" s="1"/>
    </row>
    <row r="226" spans="6:6" x14ac:dyDescent="0.25">
      <c r="F226" s="1"/>
    </row>
    <row r="227" spans="6:6" x14ac:dyDescent="0.25">
      <c r="F227" s="1"/>
    </row>
    <row r="228" spans="6:6" x14ac:dyDescent="0.25">
      <c r="F228" s="1"/>
    </row>
    <row r="229" spans="6:6" x14ac:dyDescent="0.25">
      <c r="F229" s="1"/>
    </row>
    <row r="230" spans="6:6" x14ac:dyDescent="0.25">
      <c r="F230" s="1"/>
    </row>
    <row r="231" spans="6:6" x14ac:dyDescent="0.25">
      <c r="F231" s="1"/>
    </row>
    <row r="232" spans="6:6" x14ac:dyDescent="0.25">
      <c r="F232" s="1"/>
    </row>
    <row r="233" spans="6:6" x14ac:dyDescent="0.25">
      <c r="F233" s="1"/>
    </row>
    <row r="234" spans="6:6" x14ac:dyDescent="0.25">
      <c r="F234" s="1"/>
    </row>
    <row r="235" spans="6:6" x14ac:dyDescent="0.25">
      <c r="F235" s="1"/>
    </row>
    <row r="236" spans="6:6" x14ac:dyDescent="0.25">
      <c r="F236" s="1"/>
    </row>
    <row r="237" spans="6:6" x14ac:dyDescent="0.25">
      <c r="F237" s="1"/>
    </row>
    <row r="238" spans="6:6" x14ac:dyDescent="0.25">
      <c r="F238" s="1"/>
    </row>
    <row r="239" spans="6:6" x14ac:dyDescent="0.25">
      <c r="F239" s="1"/>
    </row>
    <row r="240" spans="6:6" x14ac:dyDescent="0.25">
      <c r="F240" s="1"/>
    </row>
    <row r="241" spans="6:6" x14ac:dyDescent="0.25">
      <c r="F241" s="1"/>
    </row>
    <row r="242" spans="6:6" x14ac:dyDescent="0.25">
      <c r="F242" s="1"/>
    </row>
    <row r="243" spans="6:6" x14ac:dyDescent="0.25">
      <c r="F243" s="1"/>
    </row>
    <row r="244" spans="6:6" x14ac:dyDescent="0.25">
      <c r="F244" s="1"/>
    </row>
    <row r="245" spans="6:6" x14ac:dyDescent="0.25">
      <c r="F245" s="1"/>
    </row>
    <row r="246" spans="6:6" x14ac:dyDescent="0.25">
      <c r="F246" s="1"/>
    </row>
    <row r="247" spans="6:6" x14ac:dyDescent="0.25">
      <c r="F247" s="1"/>
    </row>
    <row r="248" spans="6:6" x14ac:dyDescent="0.25">
      <c r="F248" s="1"/>
    </row>
    <row r="249" spans="6:6" x14ac:dyDescent="0.25">
      <c r="F249" s="1"/>
    </row>
    <row r="250" spans="6:6" x14ac:dyDescent="0.25">
      <c r="F250" s="1"/>
    </row>
    <row r="251" spans="6:6" x14ac:dyDescent="0.25">
      <c r="F251" s="1"/>
    </row>
    <row r="252" spans="6:6" x14ac:dyDescent="0.25">
      <c r="F252" s="1"/>
    </row>
    <row r="253" spans="6:6" x14ac:dyDescent="0.25">
      <c r="F253" s="1"/>
    </row>
    <row r="254" spans="6:6" x14ac:dyDescent="0.25">
      <c r="F254" s="1"/>
    </row>
    <row r="255" spans="6:6" x14ac:dyDescent="0.25">
      <c r="F255" s="1"/>
    </row>
    <row r="256" spans="6:6" x14ac:dyDescent="0.25">
      <c r="F256" s="1"/>
    </row>
    <row r="257" spans="6:6" x14ac:dyDescent="0.25">
      <c r="F257" s="1"/>
    </row>
    <row r="258" spans="6:6" x14ac:dyDescent="0.25">
      <c r="F258" s="1"/>
    </row>
    <row r="259" spans="6:6" x14ac:dyDescent="0.25">
      <c r="F259" s="1"/>
    </row>
    <row r="260" spans="6:6" x14ac:dyDescent="0.25">
      <c r="F260" s="1"/>
    </row>
    <row r="261" spans="6:6" x14ac:dyDescent="0.25">
      <c r="F261" s="1"/>
    </row>
    <row r="262" spans="6:6" x14ac:dyDescent="0.25">
      <c r="F262" s="1"/>
    </row>
    <row r="263" spans="6:6" x14ac:dyDescent="0.25">
      <c r="F263" s="1"/>
    </row>
  </sheetData>
  <mergeCells count="10">
    <mergeCell ref="P140:V140"/>
    <mergeCell ref="P102:V102"/>
    <mergeCell ref="P2:V2"/>
    <mergeCell ref="A33:C33"/>
    <mergeCell ref="A2:B3"/>
    <mergeCell ref="F5:G5"/>
    <mergeCell ref="F7:F17"/>
    <mergeCell ref="F2:M3"/>
    <mergeCell ref="J4:L4"/>
    <mergeCell ref="P44:V44"/>
  </mergeCells>
  <conditionalFormatting sqref="H7:M17">
    <cfRule type="cellIs" dxfId="0" priority="1" operator="between">
      <formula>0</formula>
      <formula>0.0001</formula>
    </cfRule>
    <cfRule type="colorScale" priority="2">
      <colorScale>
        <cfvo type="min"/>
        <cfvo type="max"/>
        <color theme="9"/>
        <color theme="0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A32"/>
  <sheetViews>
    <sheetView zoomScaleNormal="100" workbookViewId="0">
      <selection activeCell="A4" sqref="A4"/>
    </sheetView>
  </sheetViews>
  <sheetFormatPr defaultColWidth="116.7109375" defaultRowHeight="43.5" customHeight="1" x14ac:dyDescent="0.25"/>
  <cols>
    <col min="1" max="16384" width="116.7109375" style="26"/>
  </cols>
  <sheetData>
    <row r="1" spans="1:1" ht="43.5" customHeight="1" thickBot="1" x14ac:dyDescent="0.3">
      <c r="A1" s="33" t="s">
        <v>18</v>
      </c>
    </row>
    <row r="2" spans="1:1" ht="43.5" customHeight="1" x14ac:dyDescent="0.25">
      <c r="A2" s="28" t="s">
        <v>29</v>
      </c>
    </row>
    <row r="3" spans="1:1" ht="43.5" customHeight="1" x14ac:dyDescent="0.25">
      <c r="A3" s="29" t="s">
        <v>30</v>
      </c>
    </row>
    <row r="4" spans="1:1" ht="43.5" customHeight="1" x14ac:dyDescent="0.25">
      <c r="A4" s="29" t="s">
        <v>31</v>
      </c>
    </row>
    <row r="5" spans="1:1" ht="43.5" customHeight="1" x14ac:dyDescent="0.25">
      <c r="A5" s="29" t="s">
        <v>32</v>
      </c>
    </row>
    <row r="6" spans="1:1" ht="43.5" customHeight="1" x14ac:dyDescent="0.25">
      <c r="A6" s="30" t="s">
        <v>28</v>
      </c>
    </row>
    <row r="7" spans="1:1" ht="43.5" customHeight="1" x14ac:dyDescent="0.25">
      <c r="A7" s="29" t="s">
        <v>33</v>
      </c>
    </row>
    <row r="8" spans="1:1" ht="43.5" customHeight="1" x14ac:dyDescent="0.25">
      <c r="A8" s="29" t="s">
        <v>34</v>
      </c>
    </row>
    <row r="9" spans="1:1" ht="43.5" customHeight="1" x14ac:dyDescent="0.25">
      <c r="A9" s="30" t="s">
        <v>35</v>
      </c>
    </row>
    <row r="10" spans="1:1" ht="43.5" customHeight="1" x14ac:dyDescent="0.25">
      <c r="A10" s="29" t="s">
        <v>36</v>
      </c>
    </row>
    <row r="11" spans="1:1" ht="43.5" customHeight="1" x14ac:dyDescent="0.25">
      <c r="A11" s="29" t="s">
        <v>37</v>
      </c>
    </row>
    <row r="12" spans="1:1" ht="43.5" customHeight="1" x14ac:dyDescent="0.25">
      <c r="A12" s="29" t="s">
        <v>40</v>
      </c>
    </row>
    <row r="13" spans="1:1" ht="43.5" customHeight="1" x14ac:dyDescent="0.25">
      <c r="A13" s="29" t="s">
        <v>41</v>
      </c>
    </row>
    <row r="14" spans="1:1" ht="43.5" customHeight="1" x14ac:dyDescent="0.25">
      <c r="A14" s="29" t="s">
        <v>42</v>
      </c>
    </row>
    <row r="15" spans="1:1" ht="43.5" customHeight="1" x14ac:dyDescent="0.25">
      <c r="A15" s="29" t="s">
        <v>43</v>
      </c>
    </row>
    <row r="16" spans="1:1" ht="43.5" customHeight="1" x14ac:dyDescent="0.25">
      <c r="A16" s="29" t="s">
        <v>44</v>
      </c>
    </row>
    <row r="17" spans="1:1" ht="43.5" customHeight="1" x14ac:dyDescent="0.25">
      <c r="A17" s="31" t="s">
        <v>45</v>
      </c>
    </row>
    <row r="18" spans="1:1" ht="43.5" customHeight="1" x14ac:dyDescent="0.25">
      <c r="A18" s="29" t="s">
        <v>46</v>
      </c>
    </row>
    <row r="19" spans="1:1" ht="43.5" customHeight="1" x14ac:dyDescent="0.25">
      <c r="A19" s="29" t="s">
        <v>47</v>
      </c>
    </row>
    <row r="20" spans="1:1" ht="43.5" customHeight="1" x14ac:dyDescent="0.25">
      <c r="A20" s="29" t="s">
        <v>48</v>
      </c>
    </row>
    <row r="21" spans="1:1" ht="43.5" customHeight="1" x14ac:dyDescent="0.25">
      <c r="A21" s="29" t="s">
        <v>49</v>
      </c>
    </row>
    <row r="22" spans="1:1" ht="43.5" customHeight="1" x14ac:dyDescent="0.25">
      <c r="A22" s="29" t="s">
        <v>50</v>
      </c>
    </row>
    <row r="23" spans="1:1" ht="43.5" customHeight="1" x14ac:dyDescent="0.25">
      <c r="A23" s="29" t="s">
        <v>51</v>
      </c>
    </row>
    <row r="24" spans="1:1" ht="43.5" customHeight="1" thickBot="1" x14ac:dyDescent="0.3">
      <c r="A24" s="32" t="s">
        <v>52</v>
      </c>
    </row>
    <row r="32" spans="1:1" ht="43.5" customHeight="1" x14ac:dyDescent="0.25">
      <c r="A32" s="27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47"/>
  <sheetViews>
    <sheetView topLeftCell="A25" workbookViewId="0">
      <selection activeCell="L8" sqref="L8"/>
    </sheetView>
  </sheetViews>
  <sheetFormatPr defaultRowHeight="15" x14ac:dyDescent="0.25"/>
  <sheetData>
    <row r="1" spans="1:9" ht="19.5" thickBot="1" x14ac:dyDescent="0.35">
      <c r="A1" s="134" t="s">
        <v>56</v>
      </c>
      <c r="B1" s="135"/>
      <c r="C1" s="135"/>
      <c r="D1" s="136"/>
      <c r="E1" s="136"/>
      <c r="F1" s="136"/>
      <c r="G1" s="136"/>
      <c r="H1" s="137"/>
      <c r="I1" s="138"/>
    </row>
    <row r="2" spans="1:9" ht="15.75" thickBot="1" x14ac:dyDescent="0.3">
      <c r="A2" s="46" t="s">
        <v>23</v>
      </c>
      <c r="B2" s="47" t="s">
        <v>55</v>
      </c>
      <c r="C2" s="17"/>
      <c r="D2" s="17"/>
      <c r="E2" s="17"/>
      <c r="F2" s="17"/>
      <c r="G2" s="17"/>
      <c r="H2" s="17"/>
      <c r="I2" s="44"/>
    </row>
    <row r="3" spans="1:9" x14ac:dyDescent="0.25">
      <c r="A3" s="48">
        <v>50</v>
      </c>
      <c r="B3" s="45">
        <v>1.0356500945084166</v>
      </c>
      <c r="C3" s="17"/>
      <c r="D3" s="17"/>
      <c r="E3" s="17"/>
      <c r="F3" s="17"/>
      <c r="G3" s="17"/>
      <c r="H3" s="17"/>
      <c r="I3" s="44"/>
    </row>
    <row r="4" spans="1:9" x14ac:dyDescent="0.25">
      <c r="A4" s="49">
        <v>100</v>
      </c>
      <c r="B4" s="45">
        <v>1.0327713840914932</v>
      </c>
      <c r="C4" s="17"/>
      <c r="D4" s="17"/>
      <c r="E4" s="17"/>
      <c r="F4" s="17"/>
      <c r="G4" s="17"/>
      <c r="H4" s="17"/>
      <c r="I4" s="44"/>
    </row>
    <row r="5" spans="1:9" x14ac:dyDescent="0.25">
      <c r="A5" s="49">
        <v>150</v>
      </c>
      <c r="B5" s="45">
        <v>1.0348715794936465</v>
      </c>
      <c r="C5" s="17"/>
      <c r="D5" s="17"/>
      <c r="E5" s="17"/>
      <c r="F5" s="17"/>
      <c r="G5" s="17"/>
      <c r="H5" s="17"/>
      <c r="I5" s="44"/>
    </row>
    <row r="6" spans="1:9" x14ac:dyDescent="0.25">
      <c r="A6" s="49">
        <v>200</v>
      </c>
      <c r="B6" s="45">
        <v>1.0357045867810886</v>
      </c>
      <c r="C6" s="17"/>
      <c r="D6" s="17"/>
      <c r="E6" s="17"/>
      <c r="F6" s="17"/>
      <c r="G6" s="17"/>
      <c r="H6" s="17"/>
      <c r="I6" s="44"/>
    </row>
    <row r="7" spans="1:9" x14ac:dyDescent="0.25">
      <c r="A7" s="49">
        <v>250</v>
      </c>
      <c r="B7" s="45">
        <v>1.0340588245811742</v>
      </c>
      <c r="C7" s="17"/>
      <c r="D7" s="17"/>
      <c r="E7" s="17"/>
      <c r="F7" s="17"/>
      <c r="G7" s="17"/>
      <c r="H7" s="17"/>
      <c r="I7" s="44"/>
    </row>
    <row r="8" spans="1:9" x14ac:dyDescent="0.25">
      <c r="A8" s="49">
        <v>300</v>
      </c>
      <c r="B8" s="45">
        <v>1.034332548552483</v>
      </c>
      <c r="C8" s="17"/>
      <c r="D8" s="17"/>
      <c r="E8" s="17"/>
      <c r="F8" s="17"/>
      <c r="G8" s="17"/>
      <c r="H8" s="17"/>
      <c r="I8" s="44"/>
    </row>
    <row r="9" spans="1:9" x14ac:dyDescent="0.25">
      <c r="A9" s="49">
        <v>350</v>
      </c>
      <c r="B9" s="45">
        <v>1.0343950026298165</v>
      </c>
      <c r="C9" s="17"/>
      <c r="D9" s="17"/>
      <c r="E9" s="17"/>
      <c r="F9" s="17"/>
      <c r="G9" s="17"/>
      <c r="H9" s="17"/>
      <c r="I9" s="44"/>
    </row>
    <row r="10" spans="1:9" x14ac:dyDescent="0.25">
      <c r="A10" s="49">
        <v>400</v>
      </c>
      <c r="B10" s="45">
        <v>1.034327405830465</v>
      </c>
      <c r="C10" s="17"/>
      <c r="D10" s="17"/>
      <c r="E10" s="17"/>
      <c r="F10" s="17"/>
      <c r="G10" s="17"/>
      <c r="H10" s="17"/>
      <c r="I10" s="44"/>
    </row>
    <row r="11" spans="1:9" x14ac:dyDescent="0.25">
      <c r="A11" s="49">
        <v>450</v>
      </c>
      <c r="B11" s="45">
        <v>1.0357154504795063</v>
      </c>
      <c r="C11" s="17"/>
      <c r="D11" s="17"/>
      <c r="E11" s="17"/>
      <c r="F11" s="17"/>
      <c r="G11" s="17"/>
      <c r="H11" s="17"/>
      <c r="I11" s="44"/>
    </row>
    <row r="12" spans="1:9" x14ac:dyDescent="0.25">
      <c r="A12" s="49">
        <v>500</v>
      </c>
      <c r="B12" s="45">
        <v>1.0354656553549608</v>
      </c>
      <c r="C12" s="17"/>
      <c r="D12" s="17"/>
      <c r="E12" s="17"/>
      <c r="F12" s="17"/>
      <c r="G12" s="17"/>
      <c r="H12" s="17"/>
      <c r="I12" s="44"/>
    </row>
    <row r="13" spans="1:9" x14ac:dyDescent="0.25">
      <c r="A13" s="49">
        <v>550</v>
      </c>
      <c r="B13" s="45">
        <v>1.0351608068390692</v>
      </c>
      <c r="C13" s="17"/>
      <c r="D13" s="17"/>
      <c r="E13" s="17"/>
      <c r="F13" s="17"/>
      <c r="G13" s="17"/>
      <c r="H13" s="17"/>
      <c r="I13" s="44"/>
    </row>
    <row r="14" spans="1:9" x14ac:dyDescent="0.25">
      <c r="A14" s="49">
        <v>600</v>
      </c>
      <c r="B14" s="45">
        <v>1.0348279024110483</v>
      </c>
      <c r="C14" s="17"/>
      <c r="D14" s="17"/>
      <c r="E14" s="17"/>
      <c r="F14" s="17"/>
      <c r="G14" s="17"/>
      <c r="H14" s="17"/>
      <c r="I14" s="44"/>
    </row>
    <row r="15" spans="1:9" x14ac:dyDescent="0.25">
      <c r="A15" s="49">
        <v>650</v>
      </c>
      <c r="B15" s="45">
        <v>1.0357593321310556</v>
      </c>
      <c r="C15" s="17"/>
      <c r="D15" s="17"/>
      <c r="E15" s="17"/>
      <c r="F15" s="17"/>
      <c r="G15" s="17"/>
      <c r="H15" s="17"/>
      <c r="I15" s="44"/>
    </row>
    <row r="16" spans="1:9" x14ac:dyDescent="0.25">
      <c r="A16" s="49">
        <v>700</v>
      </c>
      <c r="B16" s="45">
        <v>1.0353800424857973</v>
      </c>
      <c r="C16" s="44"/>
      <c r="D16" s="44"/>
      <c r="E16" s="44"/>
      <c r="F16" s="44"/>
      <c r="G16" s="44"/>
      <c r="H16" s="44"/>
      <c r="I16" s="44"/>
    </row>
    <row r="17" spans="1:9" x14ac:dyDescent="0.25">
      <c r="A17" s="49">
        <v>750</v>
      </c>
      <c r="B17" s="45">
        <v>1.0349782251990125</v>
      </c>
      <c r="C17" s="44"/>
      <c r="D17" s="44"/>
      <c r="E17" s="44"/>
      <c r="F17" s="44"/>
      <c r="G17" s="44"/>
      <c r="H17" s="44"/>
      <c r="I17" s="44"/>
    </row>
    <row r="18" spans="1:9" x14ac:dyDescent="0.25">
      <c r="A18" s="49">
        <v>800</v>
      </c>
      <c r="B18" s="45">
        <v>1.0357275551073384</v>
      </c>
      <c r="C18" s="44"/>
      <c r="D18" s="44"/>
      <c r="E18" s="44"/>
      <c r="F18" s="44"/>
      <c r="G18" s="44"/>
      <c r="H18" s="44"/>
      <c r="I18" s="44"/>
    </row>
    <row r="19" spans="1:9" x14ac:dyDescent="0.25">
      <c r="A19" s="49">
        <v>850</v>
      </c>
      <c r="B19" s="45">
        <v>1.0353011047624612</v>
      </c>
      <c r="C19" s="44"/>
      <c r="D19" s="44"/>
      <c r="E19" s="44"/>
      <c r="F19" s="44"/>
      <c r="G19" s="44"/>
      <c r="H19" s="44"/>
      <c r="I19" s="44"/>
    </row>
    <row r="20" spans="1:9" x14ac:dyDescent="0.25">
      <c r="A20" s="49">
        <v>900</v>
      </c>
      <c r="B20" s="45">
        <v>1.0348688820571685</v>
      </c>
      <c r="C20" s="44"/>
      <c r="D20" s="44"/>
      <c r="E20" s="44"/>
      <c r="F20" s="44"/>
      <c r="G20" s="44"/>
      <c r="H20" s="44"/>
      <c r="I20" s="44"/>
    </row>
    <row r="21" spans="1:9" x14ac:dyDescent="0.25">
      <c r="A21" s="49">
        <v>950</v>
      </c>
      <c r="B21" s="45">
        <v>1.0355160280659321</v>
      </c>
      <c r="C21" s="44"/>
      <c r="D21" s="44"/>
      <c r="E21" s="44"/>
      <c r="F21" s="44"/>
      <c r="G21" s="44"/>
      <c r="H21" s="44"/>
      <c r="I21" s="44"/>
    </row>
    <row r="22" spans="1:9" x14ac:dyDescent="0.25">
      <c r="A22" s="49">
        <v>1000</v>
      </c>
      <c r="B22" s="45">
        <v>1.0350717221177073</v>
      </c>
      <c r="C22" s="44"/>
      <c r="D22" s="44"/>
      <c r="E22" s="44"/>
      <c r="F22" s="44"/>
      <c r="G22" s="44"/>
      <c r="H22" s="44"/>
      <c r="I22" s="44"/>
    </row>
    <row r="23" spans="1:9" x14ac:dyDescent="0.25">
      <c r="A23" s="49">
        <v>1050</v>
      </c>
      <c r="B23" s="45">
        <v>1.0356429980959772</v>
      </c>
      <c r="C23" s="44"/>
      <c r="D23" s="44"/>
      <c r="E23" s="44"/>
      <c r="F23" s="44"/>
      <c r="G23" s="44"/>
      <c r="H23" s="44"/>
      <c r="I23" s="44"/>
    </row>
    <row r="24" spans="1:9" x14ac:dyDescent="0.25">
      <c r="A24" s="49">
        <v>1100</v>
      </c>
      <c r="B24" s="45">
        <v>1.0351894880347698</v>
      </c>
      <c r="C24" s="44"/>
      <c r="D24" s="44"/>
      <c r="E24" s="44"/>
      <c r="F24" s="44"/>
      <c r="G24" s="44"/>
      <c r="H24" s="44"/>
      <c r="I24" s="44"/>
    </row>
    <row r="25" spans="1:9" x14ac:dyDescent="0.25">
      <c r="A25" s="49">
        <v>1150</v>
      </c>
      <c r="B25" s="45">
        <v>1.0357107439943491</v>
      </c>
      <c r="C25" s="44"/>
      <c r="D25" s="44"/>
      <c r="E25" s="44"/>
      <c r="F25" s="44"/>
      <c r="G25" s="44"/>
      <c r="H25" s="44"/>
      <c r="I25" s="44"/>
    </row>
    <row r="26" spans="1:9" x14ac:dyDescent="0.25">
      <c r="A26" s="49">
        <v>1200</v>
      </c>
      <c r="B26" s="45">
        <v>1.0352567932466155</v>
      </c>
      <c r="C26" s="44"/>
      <c r="D26" s="44"/>
      <c r="E26" s="44"/>
      <c r="F26" s="44"/>
      <c r="G26" s="44"/>
      <c r="H26" s="44"/>
      <c r="I26" s="44"/>
    </row>
    <row r="27" spans="1:9" x14ac:dyDescent="0.25">
      <c r="A27" s="49">
        <v>1250</v>
      </c>
      <c r="B27" s="45">
        <v>1.0357308484759293</v>
      </c>
      <c r="C27" s="44"/>
      <c r="D27" s="44"/>
      <c r="E27" s="44"/>
      <c r="F27" s="44"/>
      <c r="G27" s="44"/>
      <c r="H27" s="44"/>
      <c r="I27" s="44"/>
    </row>
    <row r="28" spans="1:9" x14ac:dyDescent="0.25">
      <c r="A28" s="49">
        <v>1300</v>
      </c>
      <c r="B28" s="45">
        <v>1.0352722748052345</v>
      </c>
      <c r="C28" s="44"/>
      <c r="D28" s="44"/>
      <c r="E28" s="44"/>
      <c r="F28" s="44"/>
      <c r="G28" s="44"/>
      <c r="H28" s="44"/>
      <c r="I28" s="44"/>
    </row>
    <row r="29" spans="1:9" x14ac:dyDescent="0.25">
      <c r="A29" s="49">
        <v>1350</v>
      </c>
      <c r="B29" s="45">
        <v>1.0357128908527566</v>
      </c>
      <c r="C29" s="44"/>
      <c r="D29" s="44"/>
      <c r="E29" s="44"/>
      <c r="F29" s="44"/>
      <c r="G29" s="44"/>
      <c r="H29" s="44"/>
      <c r="I29" s="44"/>
    </row>
    <row r="30" spans="1:9" x14ac:dyDescent="0.25">
      <c r="A30" s="49"/>
      <c r="B30" s="45"/>
      <c r="C30" s="44"/>
      <c r="D30" s="44"/>
      <c r="E30" s="44"/>
      <c r="F30" s="44"/>
      <c r="G30" s="44"/>
      <c r="H30" s="44"/>
      <c r="I30" s="44"/>
    </row>
    <row r="31" spans="1:9" ht="15.75" thickBot="1" x14ac:dyDescent="0.3">
      <c r="A31" s="44"/>
      <c r="B31" s="44"/>
      <c r="C31" s="44"/>
      <c r="D31" s="44"/>
      <c r="E31" s="44"/>
      <c r="F31" s="44"/>
      <c r="G31" s="44"/>
      <c r="H31" s="44"/>
      <c r="I31" s="44"/>
    </row>
    <row r="32" spans="1:9" ht="19.5" thickBot="1" x14ac:dyDescent="0.35">
      <c r="A32" s="134" t="s">
        <v>58</v>
      </c>
      <c r="B32" s="135"/>
      <c r="C32" s="135"/>
      <c r="D32" s="136"/>
      <c r="E32" s="136"/>
      <c r="F32" s="136"/>
      <c r="G32" s="136"/>
      <c r="H32" s="137"/>
      <c r="I32" s="138"/>
    </row>
    <row r="33" spans="1:9" ht="15.75" thickBot="1" x14ac:dyDescent="0.3">
      <c r="A33" s="46" t="s">
        <v>57</v>
      </c>
      <c r="B33" s="47" t="s">
        <v>55</v>
      </c>
      <c r="C33" s="44"/>
      <c r="D33" s="44"/>
      <c r="E33" s="44"/>
      <c r="F33" s="44"/>
      <c r="G33" s="44"/>
      <c r="H33" s="44"/>
      <c r="I33" s="44"/>
    </row>
    <row r="34" spans="1:9" x14ac:dyDescent="0.25">
      <c r="A34" s="45">
        <v>5.0000000000000001E-3</v>
      </c>
      <c r="B34" s="45">
        <v>1.0546464262736643</v>
      </c>
      <c r="C34" s="44"/>
      <c r="D34" s="44"/>
      <c r="E34" s="44"/>
      <c r="F34" s="44"/>
      <c r="G34" s="44"/>
      <c r="H34" s="44"/>
      <c r="I34" s="44"/>
    </row>
    <row r="35" spans="1:9" x14ac:dyDescent="0.25">
      <c r="A35" s="45">
        <v>7.4999999999999997E-3</v>
      </c>
      <c r="B35" s="45">
        <v>1.0515834786820579</v>
      </c>
      <c r="C35" s="44"/>
      <c r="D35" s="44"/>
      <c r="E35" s="44"/>
      <c r="F35" s="44"/>
      <c r="G35" s="44"/>
      <c r="H35" s="44"/>
      <c r="I35" s="44"/>
    </row>
    <row r="36" spans="1:9" x14ac:dyDescent="0.25">
      <c r="A36" s="45">
        <v>0.01</v>
      </c>
      <c r="B36" s="45">
        <v>1.0486351002590943</v>
      </c>
      <c r="C36" s="44"/>
      <c r="D36" s="44"/>
      <c r="E36" s="44"/>
      <c r="F36" s="44"/>
      <c r="G36" s="44"/>
      <c r="H36" s="44"/>
      <c r="I36" s="44"/>
    </row>
    <row r="37" spans="1:9" x14ac:dyDescent="0.25">
      <c r="A37" s="45">
        <v>1.2500000000000001E-2</v>
      </c>
      <c r="B37" s="45">
        <v>1.043402509627203</v>
      </c>
      <c r="C37" s="44"/>
      <c r="D37" s="44"/>
      <c r="E37" s="44"/>
      <c r="F37" s="44"/>
      <c r="G37" s="44"/>
      <c r="H37" s="44"/>
      <c r="I37" s="44"/>
    </row>
    <row r="38" spans="1:9" x14ac:dyDescent="0.25">
      <c r="A38" s="45">
        <v>1.4999999999999999E-2</v>
      </c>
      <c r="B38" s="45">
        <v>1.0408133668469266</v>
      </c>
      <c r="C38" s="44"/>
      <c r="D38" s="44"/>
      <c r="E38" s="44"/>
      <c r="F38" s="44"/>
      <c r="G38" s="44"/>
      <c r="H38" s="44"/>
      <c r="I38" s="44"/>
    </row>
    <row r="39" spans="1:9" x14ac:dyDescent="0.25">
      <c r="A39" s="45">
        <v>1.7500000000000002E-2</v>
      </c>
      <c r="B39" s="45">
        <v>1.0407750302008538</v>
      </c>
      <c r="C39" s="44"/>
      <c r="D39" s="44"/>
      <c r="E39" s="44"/>
      <c r="F39" s="44"/>
      <c r="G39" s="44"/>
      <c r="H39" s="44"/>
      <c r="I39" s="44"/>
    </row>
    <row r="40" spans="1:9" x14ac:dyDescent="0.25">
      <c r="A40" s="45">
        <v>0.02</v>
      </c>
      <c r="B40" s="45">
        <v>1.0407365075942603</v>
      </c>
      <c r="C40" s="44"/>
      <c r="D40" s="44"/>
      <c r="E40" s="44"/>
      <c r="F40" s="44"/>
      <c r="G40" s="44"/>
      <c r="H40" s="44"/>
      <c r="I40" s="44"/>
    </row>
    <row r="41" spans="1:9" x14ac:dyDescent="0.25">
      <c r="A41" s="45">
        <v>2.2499999999999999E-2</v>
      </c>
      <c r="B41" s="45">
        <v>1.0406978097744632</v>
      </c>
      <c r="C41" s="44"/>
      <c r="D41" s="44"/>
      <c r="E41" s="44"/>
      <c r="F41" s="44"/>
      <c r="G41" s="44"/>
      <c r="H41" s="44"/>
      <c r="I41" s="44"/>
    </row>
    <row r="42" spans="1:9" x14ac:dyDescent="0.25">
      <c r="A42" s="45">
        <v>2.5000000000000001E-2</v>
      </c>
      <c r="B42" s="45">
        <v>1.0406589547524141</v>
      </c>
      <c r="C42" s="44"/>
      <c r="D42" s="44"/>
      <c r="E42" s="44"/>
      <c r="F42" s="44"/>
      <c r="G42" s="44"/>
      <c r="H42" s="44"/>
      <c r="I42" s="44"/>
    </row>
    <row r="43" spans="1:9" x14ac:dyDescent="0.25">
      <c r="A43" s="45">
        <v>2.75E-2</v>
      </c>
      <c r="B43" s="45">
        <v>1.0406199365404198</v>
      </c>
      <c r="C43" s="44"/>
      <c r="D43" s="44"/>
      <c r="E43" s="44"/>
      <c r="F43" s="44"/>
      <c r="G43" s="44"/>
      <c r="H43" s="44"/>
      <c r="I43" s="44"/>
    </row>
    <row r="44" spans="1:9" x14ac:dyDescent="0.25">
      <c r="A44" s="44"/>
      <c r="B44" s="44"/>
      <c r="C44" s="44"/>
      <c r="D44" s="44"/>
      <c r="E44" s="44"/>
      <c r="F44" s="44"/>
      <c r="G44" s="44"/>
      <c r="H44" s="44"/>
      <c r="I44" s="44"/>
    </row>
    <row r="45" spans="1:9" x14ac:dyDescent="0.25">
      <c r="A45" s="44"/>
      <c r="B45" s="44"/>
      <c r="C45" s="44"/>
      <c r="D45" s="44"/>
      <c r="E45" s="44"/>
      <c r="F45" s="44"/>
      <c r="G45" s="44"/>
      <c r="H45" s="44"/>
      <c r="I45" s="44"/>
    </row>
    <row r="46" spans="1:9" x14ac:dyDescent="0.25">
      <c r="A46" s="44"/>
      <c r="B46" s="44"/>
      <c r="C46" s="44"/>
      <c r="D46" s="44"/>
      <c r="E46" s="44"/>
      <c r="F46" s="44"/>
      <c r="G46" s="44"/>
      <c r="H46" s="44"/>
      <c r="I46" s="44"/>
    </row>
    <row r="47" spans="1:9" x14ac:dyDescent="0.25">
      <c r="A47" s="44"/>
      <c r="B47" s="44"/>
      <c r="C47" s="44"/>
      <c r="D47" s="44"/>
      <c r="E47" s="44"/>
      <c r="F47" s="44"/>
      <c r="G47" s="44"/>
      <c r="H47" s="44"/>
      <c r="I47" s="44"/>
    </row>
  </sheetData>
  <mergeCells count="2">
    <mergeCell ref="A1:I1"/>
    <mergeCell ref="A32:I3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ConvBond</vt:lpstr>
      <vt:lpstr>help</vt:lpstr>
      <vt:lpstr>examples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Convertible bond pricing tool</dc:title>
  <dc:creator/>
  <cp:lastModifiedBy/>
  <dcterms:created xsi:type="dcterms:W3CDTF">2006-09-16T00:00:00Z</dcterms:created>
  <dcterms:modified xsi:type="dcterms:W3CDTF">2013-08-09T05:43:39Z</dcterms:modified>
</cp:coreProperties>
</file>